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i\Python_codes\Quickmind\Intermerk\shipment-dash-flow\public\data\"/>
    </mc:Choice>
  </mc:AlternateContent>
  <xr:revisionPtr revIDLastSave="0" documentId="13_ncr:1_{856521AF-9285-48F3-ABAD-7DEBA5FF24BB}" xr6:coauthVersionLast="47" xr6:coauthVersionMax="47" xr10:uidLastSave="{00000000-0000-0000-0000-000000000000}"/>
  <bookViews>
    <workbookView xWindow="-120" yWindow="-120" windowWidth="29040" windowHeight="15720" xr2:uid="{C6190DC3-639B-4835-BEAC-5EAFB3D9864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7" i="1" l="1"/>
  <c r="AO27" i="1" s="1"/>
  <c r="AN27" i="1"/>
  <c r="AI27" i="1"/>
  <c r="AH27" i="1" s="1"/>
  <c r="AG27" i="1"/>
  <c r="AP26" i="1"/>
  <c r="AO26" i="1" s="1"/>
  <c r="AN26" i="1"/>
  <c r="AI26" i="1"/>
  <c r="AH26" i="1" s="1"/>
  <c r="AG26" i="1"/>
  <c r="AP25" i="1"/>
  <c r="AO25" i="1" s="1"/>
  <c r="AN25" i="1"/>
  <c r="AI25" i="1"/>
  <c r="AH25" i="1" s="1"/>
  <c r="AG25" i="1"/>
  <c r="AP24" i="1"/>
  <c r="AO24" i="1" s="1"/>
  <c r="AN24" i="1"/>
  <c r="AI24" i="1"/>
  <c r="AH24" i="1"/>
  <c r="AG24" i="1"/>
  <c r="AP23" i="1"/>
  <c r="AO23" i="1" s="1"/>
  <c r="AN23" i="1"/>
  <c r="AI23" i="1"/>
  <c r="AH23" i="1" s="1"/>
  <c r="AG23" i="1"/>
  <c r="AP22" i="1"/>
  <c r="AO22" i="1" s="1"/>
  <c r="AN22" i="1"/>
  <c r="AI22" i="1"/>
  <c r="AH22" i="1" s="1"/>
  <c r="AG22" i="1"/>
  <c r="AP21" i="1"/>
  <c r="AO21" i="1" s="1"/>
  <c r="AN21" i="1"/>
  <c r="AI21" i="1"/>
  <c r="AH21" i="1" s="1"/>
  <c r="AG21" i="1"/>
  <c r="AP20" i="1"/>
  <c r="AO20" i="1" s="1"/>
  <c r="AN20" i="1"/>
  <c r="AI20" i="1"/>
  <c r="AH20" i="1" s="1"/>
  <c r="AG20" i="1"/>
  <c r="AP19" i="1"/>
  <c r="AO19" i="1" s="1"/>
  <c r="AN19" i="1"/>
  <c r="AI19" i="1"/>
  <c r="AH19" i="1" s="1"/>
  <c r="AG19" i="1"/>
  <c r="AP18" i="1"/>
  <c r="AO18" i="1" s="1"/>
  <c r="AN18" i="1"/>
  <c r="AI18" i="1"/>
  <c r="AH18" i="1" s="1"/>
  <c r="AG18" i="1"/>
  <c r="AP17" i="1"/>
  <c r="AO17" i="1" s="1"/>
  <c r="AN17" i="1"/>
  <c r="AI17" i="1"/>
  <c r="AH17" i="1" s="1"/>
  <c r="AG17" i="1"/>
  <c r="AP16" i="1"/>
  <c r="AO16" i="1" s="1"/>
  <c r="AN16" i="1"/>
  <c r="AI16" i="1"/>
  <c r="AH16" i="1" s="1"/>
  <c r="AG16" i="1"/>
  <c r="AP15" i="1"/>
  <c r="AO15" i="1" s="1"/>
  <c r="AN15" i="1"/>
  <c r="AI15" i="1"/>
  <c r="AH15" i="1" s="1"/>
  <c r="AG15" i="1"/>
  <c r="AP14" i="1"/>
  <c r="AO14" i="1" s="1"/>
  <c r="AN14" i="1"/>
  <c r="AI14" i="1"/>
  <c r="AH14" i="1" s="1"/>
  <c r="AG14" i="1"/>
  <c r="AP13" i="1"/>
  <c r="AO13" i="1" s="1"/>
  <c r="AN13" i="1"/>
  <c r="AI13" i="1"/>
  <c r="AH13" i="1" s="1"/>
  <c r="AG13" i="1"/>
  <c r="AP12" i="1"/>
  <c r="AO12" i="1" s="1"/>
  <c r="AN12" i="1"/>
  <c r="AI12" i="1"/>
  <c r="AH12" i="1" s="1"/>
  <c r="AG12" i="1"/>
  <c r="AP11" i="1"/>
  <c r="AO11" i="1" s="1"/>
  <c r="AN11" i="1"/>
  <c r="AI11" i="1"/>
  <c r="AH11" i="1" s="1"/>
  <c r="AG11" i="1"/>
  <c r="AP10" i="1"/>
  <c r="AO10" i="1" s="1"/>
  <c r="AN10" i="1"/>
  <c r="AI10" i="1"/>
  <c r="AH10" i="1" s="1"/>
  <c r="AG10" i="1"/>
  <c r="AP9" i="1"/>
  <c r="AO9" i="1" s="1"/>
  <c r="AN9" i="1"/>
  <c r="AI9" i="1"/>
  <c r="AH9" i="1" s="1"/>
  <c r="AG9" i="1"/>
  <c r="AP8" i="1"/>
  <c r="AO8" i="1" s="1"/>
  <c r="AN8" i="1"/>
  <c r="AI8" i="1"/>
  <c r="AH8" i="1" s="1"/>
  <c r="AG8" i="1"/>
  <c r="AP7" i="1"/>
  <c r="AO7" i="1" s="1"/>
  <c r="AN7" i="1"/>
  <c r="AI7" i="1"/>
  <c r="AH7" i="1" s="1"/>
  <c r="AG7" i="1"/>
  <c r="AP6" i="1"/>
  <c r="AO6" i="1" s="1"/>
  <c r="AN6" i="1"/>
  <c r="AI6" i="1"/>
  <c r="AH6" i="1" s="1"/>
  <c r="AG6" i="1"/>
  <c r="AP5" i="1"/>
  <c r="AO5" i="1" s="1"/>
  <c r="AN5" i="1"/>
  <c r="AI5" i="1"/>
  <c r="AH5" i="1" s="1"/>
  <c r="AG5" i="1"/>
  <c r="AP4" i="1"/>
  <c r="AO4" i="1" s="1"/>
  <c r="AN4" i="1"/>
  <c r="AI4" i="1"/>
  <c r="AH4" i="1" s="1"/>
  <c r="AG4" i="1"/>
  <c r="AP3" i="1"/>
  <c r="AO3" i="1" s="1"/>
  <c r="AN3" i="1"/>
  <c r="AI3" i="1"/>
  <c r="AH3" i="1"/>
  <c r="AG3" i="1"/>
  <c r="AP2" i="1"/>
  <c r="AO2" i="1" s="1"/>
  <c r="AN2" i="1"/>
  <c r="AI2" i="1"/>
  <c r="AH2" i="1" s="1"/>
  <c r="A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tc={DABBD6BD-04B1-47B0-8FEC-FE8397379A9D}</author>
  </authors>
  <commentList>
    <comment ref="G1" authorId="0" shapeId="0" xr:uid="{DABBD6BD-04B1-47B0-8FEC-FE8397379A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 para cuando no se tiene el No. de identificación de viaje al momento para algunos clientes </t>
      </text>
    </comment>
  </commentList>
</comments>
</file>

<file path=xl/sharedStrings.xml><?xml version="1.0" encoding="utf-8"?>
<sst xmlns="http://schemas.openxmlformats.org/spreadsheetml/2006/main" count="439" uniqueCount="162">
  <si>
    <t>#</t>
  </si>
  <si>
    <t>Razon Social Cliente</t>
  </si>
  <si>
    <t>Nombre de Ejecutivo SAC</t>
  </si>
  <si>
    <t xml:space="preserve">Modalidad </t>
  </si>
  <si>
    <t>Tipo de Unidad</t>
  </si>
  <si>
    <t xml:space="preserve">No. Identificación de Viaje SAC </t>
  </si>
  <si>
    <t>No. Identificación de Viaje Operaciones</t>
  </si>
  <si>
    <t xml:space="preserve">Especificaciones del Diseño de Servicio </t>
  </si>
  <si>
    <t>Cedis Origen</t>
  </si>
  <si>
    <t xml:space="preserve">Origen </t>
  </si>
  <si>
    <t xml:space="preserve">Destino </t>
  </si>
  <si>
    <t xml:space="preserve">Cadena </t>
  </si>
  <si>
    <t>Fecha de Asignación</t>
  </si>
  <si>
    <t xml:space="preserve">Fecha de Carga </t>
  </si>
  <si>
    <t xml:space="preserve"> Hora de Carga </t>
  </si>
  <si>
    <t>Fecha de Cita de Descarga</t>
  </si>
  <si>
    <t>Hora de Cita de Descarga</t>
  </si>
  <si>
    <t xml:space="preserve">Nombre del Coordinador Distribución </t>
  </si>
  <si>
    <t>OC Domain (Orden Interna TMS)</t>
  </si>
  <si>
    <t>Fecha Creación OC Domian (Orden Interna TMS)</t>
  </si>
  <si>
    <t>Modificación Domain</t>
  </si>
  <si>
    <t>No. Carta Porte</t>
  </si>
  <si>
    <t>Linea Transportista</t>
  </si>
  <si>
    <t xml:space="preserve">Nombre Operador </t>
  </si>
  <si>
    <t>Placa Tractor</t>
  </si>
  <si>
    <t xml:space="preserve">Placa Caja </t>
  </si>
  <si>
    <t xml:space="preserve">ECO. De la Caja </t>
  </si>
  <si>
    <t xml:space="preserve">Tipo de Unidad </t>
  </si>
  <si>
    <t xml:space="preserve">Fecha de Arribo Cliente </t>
  </si>
  <si>
    <t xml:space="preserve">Hora de Arribo Cliente </t>
  </si>
  <si>
    <t>Fecha  termino de carga Cliente</t>
  </si>
  <si>
    <t>Hora termino de carga Cliente</t>
  </si>
  <si>
    <t>Tiempo Total de Carga</t>
  </si>
  <si>
    <t>Incidencia</t>
  </si>
  <si>
    <t>OTA</t>
  </si>
  <si>
    <t>Fecha de Llegada Destino</t>
  </si>
  <si>
    <t>Hora de Llegada Destino</t>
  </si>
  <si>
    <t>Fecha de termino en destino</t>
  </si>
  <si>
    <t>Hora de termino en destino</t>
  </si>
  <si>
    <t>Tiempo total en destino</t>
  </si>
  <si>
    <t>OTD</t>
  </si>
  <si>
    <t>No. Ticket Openser de Adicionales</t>
  </si>
  <si>
    <t>Estatus de Operación</t>
  </si>
  <si>
    <t>Tipo de Incidencia Operativa</t>
  </si>
  <si>
    <t>EJEMPLO</t>
  </si>
  <si>
    <t>Keila</t>
  </si>
  <si>
    <t>Ultima Milla</t>
  </si>
  <si>
    <t>RABON</t>
  </si>
  <si>
    <t>N/A</t>
  </si>
  <si>
    <t>TIJUANA</t>
  </si>
  <si>
    <t>NESTLE</t>
  </si>
  <si>
    <t>TANIA MARTINEZ</t>
  </si>
  <si>
    <t>UM-A5077</t>
  </si>
  <si>
    <t>NESTLE MEXICO</t>
  </si>
  <si>
    <t>1.5 TON</t>
  </si>
  <si>
    <t>IMK TIJUANA</t>
  </si>
  <si>
    <t>PRODUCTORA MEXICANA DE ARROZ SAPI DE CV</t>
  </si>
  <si>
    <t>53ft</t>
  </si>
  <si>
    <t>LA JOYA</t>
  </si>
  <si>
    <t>CUAUTITLAN</t>
  </si>
  <si>
    <t>PORTEO CUAUTITLAN</t>
  </si>
  <si>
    <t>WALMART</t>
  </si>
  <si>
    <t>ELIZABETH GONZALEZ GARCIA</t>
  </si>
  <si>
    <t>UM-A5553</t>
  </si>
  <si>
    <t>T34278</t>
  </si>
  <si>
    <t>CYNTHIA PAOLA CARREON LOPEZ TPM</t>
  </si>
  <si>
    <t>JORGE ALBERTO CARRASCO GARCIA</t>
  </si>
  <si>
    <t>91BJ7S</t>
  </si>
  <si>
    <t>58YA8F</t>
  </si>
  <si>
    <t>TRAILER</t>
  </si>
  <si>
    <t>JACOBS DOUWE EGBERTS MX,S de RL de CV</t>
  </si>
  <si>
    <t>JAQUI</t>
  </si>
  <si>
    <t>OLMECAS</t>
  </si>
  <si>
    <t>VERACRUZ</t>
  </si>
  <si>
    <t>CORDOBA</t>
  </si>
  <si>
    <t>PLANTA CORDOBA</t>
  </si>
  <si>
    <t>TORTON</t>
  </si>
  <si>
    <t>GUADALAJARA</t>
  </si>
  <si>
    <t>FRAGUA</t>
  </si>
  <si>
    <t>PORTEO GUADALAJARA</t>
  </si>
  <si>
    <t>UM-A5555</t>
  </si>
  <si>
    <t>T34262</t>
  </si>
  <si>
    <t>LUIS ALBERTO GARFIAS CRUZ</t>
  </si>
  <si>
    <t>CRISTIAN ANGELES JIMENEZ</t>
  </si>
  <si>
    <t>93AZ8T</t>
  </si>
  <si>
    <t>CASA LEY</t>
  </si>
  <si>
    <t>PENDIENTE</t>
  </si>
  <si>
    <t>UM-A5556</t>
  </si>
  <si>
    <t>SORIANA</t>
  </si>
  <si>
    <t>UM-A5557</t>
  </si>
  <si>
    <t>MONTERREY</t>
  </si>
  <si>
    <t>SMART CD JUAREZ</t>
  </si>
  <si>
    <t>PORTEO MONTERREY</t>
  </si>
  <si>
    <t>UM-A5544</t>
  </si>
  <si>
    <t>T34258</t>
  </si>
  <si>
    <t>EDUARDO LOPEZ LEON</t>
  </si>
  <si>
    <t>46BK9J</t>
  </si>
  <si>
    <t>42UZ6S</t>
  </si>
  <si>
    <t>SAMRT MOTERREY</t>
  </si>
  <si>
    <t>UM-A5545-UM-A5546-UM-A5547</t>
  </si>
  <si>
    <t>T34259</t>
  </si>
  <si>
    <t>SMART CHIHUAHUA</t>
  </si>
  <si>
    <t>UM-A5548</t>
  </si>
  <si>
    <t>UM-A5549</t>
  </si>
  <si>
    <t>OP FTURAMA GOMEZ PALACIO DURANGO</t>
  </si>
  <si>
    <t>UM-A5550-UM-A5551</t>
  </si>
  <si>
    <t>UM-A5552</t>
  </si>
  <si>
    <t xml:space="preserve">3.5 ton </t>
  </si>
  <si>
    <t>9236011653-9236011637-9236011626-9236911641-92360116650</t>
  </si>
  <si>
    <t xml:space="preserve">LA JOYA </t>
  </si>
  <si>
    <t>TEOLOYUCAN</t>
  </si>
  <si>
    <t>CHEDRAUI</t>
  </si>
  <si>
    <t>UM-A5554</t>
  </si>
  <si>
    <t>T34261</t>
  </si>
  <si>
    <t>CRISTIAN TORRES ZARATE</t>
  </si>
  <si>
    <t>LF47693</t>
  </si>
  <si>
    <t>3.5</t>
  </si>
  <si>
    <t>9236011702-9236011703</t>
  </si>
  <si>
    <t>TULTEPEC</t>
  </si>
  <si>
    <t>HEB</t>
  </si>
  <si>
    <t>UM-A5543</t>
  </si>
  <si>
    <t>T34257</t>
  </si>
  <si>
    <t>ANA LAURA CRUZ GARCIA</t>
  </si>
  <si>
    <t>FRANCISCO CRUZ GARCIA</t>
  </si>
  <si>
    <t>87AU7A</t>
  </si>
  <si>
    <t>VALLEJO</t>
  </si>
  <si>
    <t>CITY FRESCO</t>
  </si>
  <si>
    <t>UM-A5572</t>
  </si>
  <si>
    <t>T34280</t>
  </si>
  <si>
    <t>JOSE ALEXIS VIEYRA CLORIO</t>
  </si>
  <si>
    <t>ANTONIO SORIANO JIMENEZ</t>
  </si>
  <si>
    <t>38BH1P</t>
  </si>
  <si>
    <t>UM-A5573</t>
  </si>
  <si>
    <t>T34281</t>
  </si>
  <si>
    <t>JOSE GUADALUPE VALDES CARDOSO</t>
  </si>
  <si>
    <t>37AH2M</t>
  </si>
  <si>
    <t>931WN3</t>
  </si>
  <si>
    <t>SANTA FE</t>
  </si>
  <si>
    <t>ENTREGA OFICINA SANTA FE</t>
  </si>
  <si>
    <t>16/02726</t>
  </si>
  <si>
    <t>UM-A5574</t>
  </si>
  <si>
    <t>T34290</t>
  </si>
  <si>
    <t>HERIBERTO TORRES MARTINEZ</t>
  </si>
  <si>
    <t>LF81530</t>
  </si>
  <si>
    <t>BEBIDAS INTERNACIONALES, JL, SA DE CV</t>
  </si>
  <si>
    <t>alex</t>
  </si>
  <si>
    <t>TR1</t>
  </si>
  <si>
    <t>TULTITLAN</t>
  </si>
  <si>
    <t>NAUCALPAN</t>
  </si>
  <si>
    <t>INTERBODEGA</t>
  </si>
  <si>
    <t>ECATEPEC</t>
  </si>
  <si>
    <t>TIENDAS 3B</t>
  </si>
  <si>
    <t>HIDALGO</t>
  </si>
  <si>
    <t>METEPEC</t>
  </si>
  <si>
    <t>18702/26</t>
  </si>
  <si>
    <t>TULANCINGO</t>
  </si>
  <si>
    <t>TEZOYUCA</t>
  </si>
  <si>
    <t>Falta Orden</t>
  </si>
  <si>
    <t>FINALIZADO</t>
  </si>
  <si>
    <t>NO ENCONTRADO</t>
  </si>
  <si>
    <t>Estatus</t>
  </si>
  <si>
    <t>Choque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</si>
</sst>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$-F400]h:mm:ss\ AM/PM"/>
    <numFmt numFmtId="166" formatCode="[h]:mm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14" fontId="3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sus Castillo Rodriguez" id="{7FD6EC72-2885-4698-A080-54859E889DAE}" userId="S::jcastillo@intermerk.com.mx::b7eb7884-9f3b-4464-82f2-f66e8598672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14T22:58:23.48" personId="{7FD6EC72-2885-4698-A080-54859E889DAE}" id="{DABBD6BD-04B1-47B0-8FEC-FE8397379A9D}">
    <text xml:space="preserve">Es para cuando no se tiene el No. de identificación de viaje al momento para algunos clientes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86626-A699-406A-8512-2098D186756C}">
  <dimension ref="A1:AT27"/>
  <sheetViews>
    <sheetView tabSelected="1" topLeftCell="S1" workbookViewId="0">
      <selection activeCell="AT2" sqref="AT2"/>
    </sheetView>
  </sheetViews>
  <sheetFormatPr defaultRowHeight="15" x14ac:dyDescent="0.25"/>
  <cols>
    <col min="16" max="16" width="14.85546875" customWidth="1"/>
    <col min="29" max="29" width="11.85546875" customWidth="1"/>
  </cols>
  <sheetData>
    <row r="1" spans="1:46" ht="94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5" t="s">
        <v>27</v>
      </c>
      <c r="AC1" s="4" t="s">
        <v>28</v>
      </c>
      <c r="AD1" s="3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4" t="s">
        <v>35</v>
      </c>
      <c r="AK1" s="3" t="s">
        <v>36</v>
      </c>
      <c r="AL1" s="4" t="s">
        <v>37</v>
      </c>
      <c r="AM1" s="3" t="s">
        <v>38</v>
      </c>
      <c r="AN1" s="3" t="s">
        <v>39</v>
      </c>
      <c r="AO1" s="3" t="s">
        <v>33</v>
      </c>
      <c r="AP1" s="3" t="s">
        <v>40</v>
      </c>
      <c r="AQ1" s="3" t="s">
        <v>160</v>
      </c>
      <c r="AR1" s="3" t="s">
        <v>41</v>
      </c>
      <c r="AS1" s="3" t="s">
        <v>42</v>
      </c>
      <c r="AT1" s="3" t="s">
        <v>43</v>
      </c>
    </row>
    <row r="2" spans="1:46" x14ac:dyDescent="0.25">
      <c r="A2" s="6">
        <v>1</v>
      </c>
      <c r="B2" s="6" t="s">
        <v>44</v>
      </c>
      <c r="C2" s="6" t="s">
        <v>45</v>
      </c>
      <c r="D2" s="6" t="s">
        <v>46</v>
      </c>
      <c r="E2" s="6" t="s">
        <v>47</v>
      </c>
      <c r="F2" s="7">
        <v>100946193</v>
      </c>
      <c r="G2" s="6"/>
      <c r="H2" s="6" t="s">
        <v>48</v>
      </c>
      <c r="I2" s="6" t="s">
        <v>49</v>
      </c>
      <c r="J2" s="6" t="s">
        <v>49</v>
      </c>
      <c r="K2" s="6" t="s">
        <v>49</v>
      </c>
      <c r="L2" s="6" t="s">
        <v>50</v>
      </c>
      <c r="M2" s="8">
        <v>46042</v>
      </c>
      <c r="N2" s="8">
        <v>46043</v>
      </c>
      <c r="O2" s="9">
        <v>0.54166666666666663</v>
      </c>
      <c r="P2" s="8">
        <v>46043</v>
      </c>
      <c r="Q2" s="6"/>
      <c r="R2" s="6" t="s">
        <v>51</v>
      </c>
      <c r="S2" s="6" t="s">
        <v>52</v>
      </c>
      <c r="T2" s="8" t="e">
        <v>#REF!</v>
      </c>
      <c r="U2" s="6"/>
      <c r="V2" s="6"/>
      <c r="W2" s="6" t="s">
        <v>157</v>
      </c>
      <c r="X2" s="8" t="s">
        <v>157</v>
      </c>
      <c r="Y2" s="10" t="s">
        <v>157</v>
      </c>
      <c r="Z2" s="6" t="s">
        <v>48</v>
      </c>
      <c r="AA2" s="6" t="s">
        <v>48</v>
      </c>
      <c r="AB2" s="6" t="s">
        <v>157</v>
      </c>
      <c r="AC2" s="8">
        <v>46042</v>
      </c>
      <c r="AD2" s="9">
        <v>0.4375</v>
      </c>
      <c r="AE2" s="8">
        <v>46042</v>
      </c>
      <c r="AF2" s="9">
        <v>0.47083333333333333</v>
      </c>
      <c r="AG2" s="11">
        <f t="shared" ref="AG2:AG27" si="0">IFERROR(IF(OR(AE2="", AF2="", AC2="", AD2=""), "FALTAN DATOS", IF((AE2+AF2)-(AC2+AD2)&lt;0, "ADELANTADO", (AE2+AF2)-(AC2+AD2))), "MAL CAPTURADO")</f>
        <v>3.3333333332848269E-2</v>
      </c>
      <c r="AH2" s="6" t="str">
        <f t="shared" ref="AH2:AH27" si="1">IF(AI2="", "FALTAN DATOS", IF(ISNUMBER(AI2), IF(AI2&gt;0, "DELAYED", "ON TIME"), AI2))</f>
        <v>DELAYED</v>
      </c>
      <c r="AI2" s="6">
        <f t="shared" ref="AI2:AI27" si="2">IF(OR(N2="", AC2=""), "FALTAN DATOS", N2-AC2)</f>
        <v>1</v>
      </c>
      <c r="AJ2" s="8">
        <v>46042</v>
      </c>
      <c r="AK2" s="9">
        <v>0.4375</v>
      </c>
      <c r="AL2" s="8">
        <v>46042</v>
      </c>
      <c r="AM2" s="9">
        <v>0.47083333333333333</v>
      </c>
      <c r="AN2" s="11">
        <f t="shared" ref="AN2:AN27" si="3">IFERROR(IF(OR(AL2="", AM2="", AJ2="", AK2=""), "FALTAN DATOS", IF((AL2+AM2)-(AJ2+AK2)&lt;0, "ADELANTADO", (AL2+AM2)-(AJ2+AK2))), "MAL CAPTURADO")</f>
        <v>3.3333333332848269E-2</v>
      </c>
      <c r="AO2" s="6" t="str">
        <f t="shared" ref="AO2:AO27" si="4">IF(AP2="", "FALTAN DATOS", IF(ISNUMBER(AP2), IF(AP2&gt;0, "DELAYED", "ON TIME"), AP2))</f>
        <v>DELAYED</v>
      </c>
      <c r="AP2" s="6">
        <f t="shared" ref="AP2:AP27" si="5">IFERROR(IF(OR(P2="", AL2=""), "FALTAN DATOS", P2-AL2), "MAL CAPTURADO")</f>
        <v>1</v>
      </c>
      <c r="AQ2" s="6" t="s">
        <v>158</v>
      </c>
      <c r="AR2" s="6"/>
      <c r="AS2" s="6"/>
      <c r="AT2" s="6" t="s">
        <v>161</v>
      </c>
    </row>
    <row r="3" spans="1:46" x14ac:dyDescent="0.25">
      <c r="A3" s="6">
        <v>2</v>
      </c>
      <c r="B3" s="6" t="s">
        <v>53</v>
      </c>
      <c r="C3" s="6" t="s">
        <v>45</v>
      </c>
      <c r="D3" s="6" t="s">
        <v>46</v>
      </c>
      <c r="E3" s="6" t="s">
        <v>54</v>
      </c>
      <c r="F3" s="12">
        <v>100957510</v>
      </c>
      <c r="G3" s="6"/>
      <c r="H3" s="6" t="s">
        <v>48</v>
      </c>
      <c r="I3" s="6" t="s">
        <v>55</v>
      </c>
      <c r="J3" s="6" t="s">
        <v>49</v>
      </c>
      <c r="K3" s="6" t="s">
        <v>49</v>
      </c>
      <c r="L3" s="6" t="s">
        <v>50</v>
      </c>
      <c r="M3" s="8">
        <v>46065</v>
      </c>
      <c r="N3" s="8">
        <v>46066</v>
      </c>
      <c r="O3" s="9">
        <v>0.30555555555555558</v>
      </c>
      <c r="P3" s="8">
        <v>46066</v>
      </c>
      <c r="Q3" s="6"/>
      <c r="R3" s="6"/>
      <c r="S3" s="6"/>
      <c r="T3" s="8"/>
      <c r="U3" s="6"/>
      <c r="V3" s="6"/>
      <c r="W3" s="6"/>
      <c r="X3" s="8"/>
      <c r="Y3" s="13"/>
      <c r="Z3" s="6"/>
      <c r="AA3" s="14"/>
      <c r="AB3" s="6"/>
      <c r="AC3" s="8"/>
      <c r="AD3" s="6"/>
      <c r="AE3" s="8"/>
      <c r="AF3" s="6"/>
      <c r="AG3" s="15" t="str">
        <f t="shared" si="0"/>
        <v>FALTAN DATOS</v>
      </c>
      <c r="AH3" s="14" t="str">
        <f t="shared" si="1"/>
        <v>FALTAN DATOS</v>
      </c>
      <c r="AI3" s="14" t="str">
        <f t="shared" si="2"/>
        <v>FALTAN DATOS</v>
      </c>
      <c r="AJ3" s="8"/>
      <c r="AK3" s="9"/>
      <c r="AL3" s="8"/>
      <c r="AM3" s="14"/>
      <c r="AN3" s="15" t="str">
        <f t="shared" si="3"/>
        <v>FALTAN DATOS</v>
      </c>
      <c r="AO3" s="6" t="str">
        <f t="shared" si="4"/>
        <v>FALTAN DATOS</v>
      </c>
      <c r="AP3" s="6" t="str">
        <f t="shared" si="5"/>
        <v>FALTAN DATOS</v>
      </c>
      <c r="AQ3" s="6" t="s">
        <v>159</v>
      </c>
      <c r="AR3" s="14"/>
      <c r="AS3" s="14"/>
      <c r="AT3" s="6"/>
    </row>
    <row r="4" spans="1:46" x14ac:dyDescent="0.25">
      <c r="A4" s="6">
        <v>3</v>
      </c>
      <c r="B4" s="6" t="s">
        <v>53</v>
      </c>
      <c r="C4" s="6" t="s">
        <v>45</v>
      </c>
      <c r="D4" s="6" t="s">
        <v>46</v>
      </c>
      <c r="E4" s="6" t="s">
        <v>54</v>
      </c>
      <c r="F4" s="6">
        <v>100958674</v>
      </c>
      <c r="G4" s="6"/>
      <c r="H4" s="6" t="s">
        <v>48</v>
      </c>
      <c r="I4" s="6" t="s">
        <v>55</v>
      </c>
      <c r="J4" s="6" t="s">
        <v>49</v>
      </c>
      <c r="K4" s="6" t="s">
        <v>49</v>
      </c>
      <c r="L4" s="6" t="s">
        <v>50</v>
      </c>
      <c r="M4" s="8">
        <v>46065</v>
      </c>
      <c r="N4" s="8">
        <v>46066</v>
      </c>
      <c r="O4" s="9">
        <v>0.31944444444444442</v>
      </c>
      <c r="P4" s="8">
        <v>46066</v>
      </c>
      <c r="Q4" s="6"/>
      <c r="R4" s="6"/>
      <c r="S4" s="6"/>
      <c r="T4" s="8"/>
      <c r="U4" s="6"/>
      <c r="V4" s="6"/>
      <c r="W4" s="6"/>
      <c r="X4" s="8"/>
      <c r="Y4" s="13"/>
      <c r="Z4" s="6"/>
      <c r="AA4" s="14"/>
      <c r="AB4" s="6"/>
      <c r="AC4" s="8"/>
      <c r="AD4" s="6"/>
      <c r="AE4" s="8"/>
      <c r="AF4" s="6"/>
      <c r="AG4" s="15" t="str">
        <f t="shared" si="0"/>
        <v>FALTAN DATOS</v>
      </c>
      <c r="AH4" s="14" t="str">
        <f t="shared" si="1"/>
        <v>FALTAN DATOS</v>
      </c>
      <c r="AI4" s="14" t="str">
        <f t="shared" si="2"/>
        <v>FALTAN DATOS</v>
      </c>
      <c r="AJ4" s="8"/>
      <c r="AK4" s="9"/>
      <c r="AL4" s="8"/>
      <c r="AM4" s="14"/>
      <c r="AN4" s="15" t="str">
        <f t="shared" si="3"/>
        <v>FALTAN DATOS</v>
      </c>
      <c r="AO4" s="6" t="str">
        <f t="shared" si="4"/>
        <v>FALTAN DATOS</v>
      </c>
      <c r="AP4" s="6" t="str">
        <f t="shared" si="5"/>
        <v>FALTAN DATOS</v>
      </c>
      <c r="AQ4" s="6" t="s">
        <v>159</v>
      </c>
      <c r="AR4" s="14"/>
      <c r="AS4" s="14"/>
      <c r="AT4" s="6"/>
    </row>
    <row r="5" spans="1:46" x14ac:dyDescent="0.25">
      <c r="A5" s="6">
        <v>4</v>
      </c>
      <c r="B5" s="6" t="s">
        <v>53</v>
      </c>
      <c r="C5" s="6" t="s">
        <v>45</v>
      </c>
      <c r="D5" s="6" t="s">
        <v>46</v>
      </c>
      <c r="E5" s="6" t="s">
        <v>54</v>
      </c>
      <c r="F5" s="6">
        <v>100957028</v>
      </c>
      <c r="G5" s="6"/>
      <c r="H5" s="6" t="s">
        <v>48</v>
      </c>
      <c r="I5" s="6" t="s">
        <v>55</v>
      </c>
      <c r="J5" s="6" t="s">
        <v>49</v>
      </c>
      <c r="K5" s="6" t="s">
        <v>49</v>
      </c>
      <c r="L5" s="6" t="s">
        <v>50</v>
      </c>
      <c r="M5" s="8">
        <v>46065</v>
      </c>
      <c r="N5" s="8">
        <v>46066</v>
      </c>
      <c r="O5" s="9">
        <v>0.33333333333333331</v>
      </c>
      <c r="P5" s="8">
        <v>46067</v>
      </c>
      <c r="Q5" s="6"/>
      <c r="R5" s="6"/>
      <c r="S5" s="6"/>
      <c r="T5" s="8"/>
      <c r="U5" s="6"/>
      <c r="V5" s="6"/>
      <c r="W5" s="6"/>
      <c r="X5" s="8"/>
      <c r="Y5" s="13"/>
      <c r="Z5" s="6"/>
      <c r="AA5" s="14"/>
      <c r="AB5" s="6"/>
      <c r="AC5" s="8"/>
      <c r="AD5" s="6"/>
      <c r="AE5" s="8"/>
      <c r="AF5" s="6"/>
      <c r="AG5" s="15" t="str">
        <f t="shared" si="0"/>
        <v>FALTAN DATOS</v>
      </c>
      <c r="AH5" s="14" t="str">
        <f t="shared" si="1"/>
        <v>FALTAN DATOS</v>
      </c>
      <c r="AI5" s="14" t="str">
        <f t="shared" si="2"/>
        <v>FALTAN DATOS</v>
      </c>
      <c r="AJ5" s="8"/>
      <c r="AK5" s="9"/>
      <c r="AL5" s="8"/>
      <c r="AM5" s="14"/>
      <c r="AN5" s="15" t="str">
        <f t="shared" si="3"/>
        <v>FALTAN DATOS</v>
      </c>
      <c r="AO5" s="6" t="str">
        <f t="shared" si="4"/>
        <v>FALTAN DATOS</v>
      </c>
      <c r="AP5" s="6" t="str">
        <f t="shared" si="5"/>
        <v>FALTAN DATOS</v>
      </c>
      <c r="AQ5" s="6" t="s">
        <v>159</v>
      </c>
      <c r="AR5" s="14"/>
      <c r="AS5" s="14"/>
      <c r="AT5" s="6"/>
    </row>
    <row r="6" spans="1:46" x14ac:dyDescent="0.25">
      <c r="A6" s="6">
        <v>5</v>
      </c>
      <c r="B6" s="6" t="s">
        <v>56</v>
      </c>
      <c r="C6" s="6" t="s">
        <v>45</v>
      </c>
      <c r="D6" s="6" t="s">
        <v>46</v>
      </c>
      <c r="E6" s="6" t="s">
        <v>57</v>
      </c>
      <c r="F6" s="6"/>
      <c r="G6" s="6"/>
      <c r="H6" s="6" t="s">
        <v>48</v>
      </c>
      <c r="I6" s="6" t="s">
        <v>58</v>
      </c>
      <c r="J6" s="6" t="s">
        <v>59</v>
      </c>
      <c r="K6" s="6" t="s">
        <v>60</v>
      </c>
      <c r="L6" s="6" t="s">
        <v>61</v>
      </c>
      <c r="M6" s="8">
        <v>46066</v>
      </c>
      <c r="N6" s="8">
        <v>46067</v>
      </c>
      <c r="O6" s="6"/>
      <c r="P6" s="8">
        <v>46069</v>
      </c>
      <c r="Q6" s="9">
        <v>0.125</v>
      </c>
      <c r="R6" s="6" t="s">
        <v>62</v>
      </c>
      <c r="S6" s="6" t="s">
        <v>63</v>
      </c>
      <c r="T6" s="8">
        <v>46066</v>
      </c>
      <c r="U6" s="6"/>
      <c r="V6" s="6" t="s">
        <v>64</v>
      </c>
      <c r="W6" s="6" t="s">
        <v>65</v>
      </c>
      <c r="X6" s="8" t="s">
        <v>66</v>
      </c>
      <c r="Y6" s="13" t="s">
        <v>67</v>
      </c>
      <c r="Z6" s="6" t="s">
        <v>68</v>
      </c>
      <c r="AA6" s="14" t="s">
        <v>48</v>
      </c>
      <c r="AB6" s="6" t="s">
        <v>69</v>
      </c>
      <c r="AC6" s="8">
        <v>46067</v>
      </c>
      <c r="AD6" s="9">
        <v>0.41666666666666669</v>
      </c>
      <c r="AE6" s="8">
        <v>46067</v>
      </c>
      <c r="AF6" s="9">
        <v>0.625</v>
      </c>
      <c r="AG6" s="15">
        <f t="shared" si="0"/>
        <v>0.20833333333575865</v>
      </c>
      <c r="AH6" s="14" t="str">
        <f t="shared" si="1"/>
        <v>ON TIME</v>
      </c>
      <c r="AI6" s="14">
        <f t="shared" si="2"/>
        <v>0</v>
      </c>
      <c r="AJ6" s="8"/>
      <c r="AK6" s="9"/>
      <c r="AL6" s="8"/>
      <c r="AM6" s="14"/>
      <c r="AN6" s="15" t="str">
        <f t="shared" si="3"/>
        <v>FALTAN DATOS</v>
      </c>
      <c r="AO6" s="6" t="str">
        <f t="shared" si="4"/>
        <v>FALTAN DATOS</v>
      </c>
      <c r="AP6" s="6" t="str">
        <f t="shared" si="5"/>
        <v>FALTAN DATOS</v>
      </c>
      <c r="AQ6" s="6" t="s">
        <v>159</v>
      </c>
      <c r="AR6" s="14"/>
      <c r="AS6" s="14"/>
      <c r="AT6" s="6"/>
    </row>
    <row r="7" spans="1:46" x14ac:dyDescent="0.25">
      <c r="A7" s="6">
        <v>6</v>
      </c>
      <c r="B7" s="6" t="s">
        <v>70</v>
      </c>
      <c r="C7" s="6" t="s">
        <v>71</v>
      </c>
      <c r="D7" s="6" t="s">
        <v>46</v>
      </c>
      <c r="E7" s="6" t="s">
        <v>57</v>
      </c>
      <c r="F7" s="6"/>
      <c r="G7" s="6"/>
      <c r="H7" s="6" t="s">
        <v>48</v>
      </c>
      <c r="I7" s="6" t="s">
        <v>72</v>
      </c>
      <c r="J7" s="6" t="s">
        <v>73</v>
      </c>
      <c r="K7" s="6" t="s">
        <v>74</v>
      </c>
      <c r="L7" s="6" t="s">
        <v>75</v>
      </c>
      <c r="M7" s="8">
        <v>46065</v>
      </c>
      <c r="N7" s="8">
        <v>46066</v>
      </c>
      <c r="O7" s="6"/>
      <c r="P7" s="8">
        <v>46066</v>
      </c>
      <c r="Q7" s="6"/>
      <c r="R7" s="6"/>
      <c r="S7" s="6"/>
      <c r="T7" s="8"/>
      <c r="U7" s="6"/>
      <c r="V7" s="6"/>
      <c r="W7" s="6"/>
      <c r="X7" s="8"/>
      <c r="Y7" s="13"/>
      <c r="Z7" s="6"/>
      <c r="AA7" s="14"/>
      <c r="AB7" s="6"/>
      <c r="AC7" s="8"/>
      <c r="AD7" s="6"/>
      <c r="AE7" s="8"/>
      <c r="AF7" s="6"/>
      <c r="AG7" s="15" t="str">
        <f t="shared" si="0"/>
        <v>FALTAN DATOS</v>
      </c>
      <c r="AH7" s="14" t="str">
        <f t="shared" si="1"/>
        <v>FALTAN DATOS</v>
      </c>
      <c r="AI7" s="14" t="str">
        <f t="shared" si="2"/>
        <v>FALTAN DATOS</v>
      </c>
      <c r="AJ7" s="8"/>
      <c r="AK7" s="9"/>
      <c r="AL7" s="8"/>
      <c r="AM7" s="14"/>
      <c r="AN7" s="15" t="str">
        <f t="shared" si="3"/>
        <v>FALTAN DATOS</v>
      </c>
      <c r="AO7" s="6" t="str">
        <f t="shared" si="4"/>
        <v>FALTAN DATOS</v>
      </c>
      <c r="AP7" s="6" t="str">
        <f t="shared" si="5"/>
        <v>FALTAN DATOS</v>
      </c>
      <c r="AQ7" s="6" t="s">
        <v>159</v>
      </c>
      <c r="AR7" s="14"/>
      <c r="AS7" s="14"/>
      <c r="AT7" s="6"/>
    </row>
    <row r="8" spans="1:46" x14ac:dyDescent="0.25">
      <c r="A8" s="6">
        <v>7</v>
      </c>
      <c r="B8" s="6" t="s">
        <v>70</v>
      </c>
      <c r="C8" s="6" t="s">
        <v>71</v>
      </c>
      <c r="D8" s="6" t="s">
        <v>46</v>
      </c>
      <c r="E8" s="6" t="s">
        <v>76</v>
      </c>
      <c r="F8" s="6">
        <v>9236011665</v>
      </c>
      <c r="G8" s="6"/>
      <c r="H8" s="6" t="s">
        <v>48</v>
      </c>
      <c r="I8" s="6" t="s">
        <v>77</v>
      </c>
      <c r="J8" s="6" t="s">
        <v>77</v>
      </c>
      <c r="K8" s="6" t="s">
        <v>78</v>
      </c>
      <c r="L8" s="6" t="s">
        <v>79</v>
      </c>
      <c r="M8" s="8">
        <v>46066</v>
      </c>
      <c r="N8" s="8">
        <v>46067</v>
      </c>
      <c r="O8" s="6"/>
      <c r="P8" s="8">
        <v>46069</v>
      </c>
      <c r="Q8" s="9">
        <v>0.77083333333333337</v>
      </c>
      <c r="R8" s="6" t="s">
        <v>62</v>
      </c>
      <c r="S8" s="6" t="s">
        <v>80</v>
      </c>
      <c r="T8" s="8">
        <v>46066</v>
      </c>
      <c r="U8" s="6"/>
      <c r="V8" s="6" t="s">
        <v>81</v>
      </c>
      <c r="W8" s="6" t="s">
        <v>82</v>
      </c>
      <c r="X8" s="8" t="s">
        <v>83</v>
      </c>
      <c r="Y8" s="13" t="s">
        <v>84</v>
      </c>
      <c r="Z8" s="6" t="s">
        <v>48</v>
      </c>
      <c r="AA8" s="14"/>
      <c r="AB8" s="6" t="s">
        <v>76</v>
      </c>
      <c r="AC8" s="8">
        <v>46067</v>
      </c>
      <c r="AD8" s="9">
        <v>0.41666666666666669</v>
      </c>
      <c r="AE8" s="8">
        <v>46067</v>
      </c>
      <c r="AF8" s="9">
        <v>0.58333333333333337</v>
      </c>
      <c r="AG8" s="15">
        <f t="shared" si="0"/>
        <v>0.16666666667151731</v>
      </c>
      <c r="AH8" s="14" t="str">
        <f t="shared" si="1"/>
        <v>ON TIME</v>
      </c>
      <c r="AI8" s="14">
        <f t="shared" si="2"/>
        <v>0</v>
      </c>
      <c r="AJ8" s="8"/>
      <c r="AK8" s="9"/>
      <c r="AL8" s="8"/>
      <c r="AM8" s="14"/>
      <c r="AN8" s="15" t="str">
        <f t="shared" si="3"/>
        <v>FALTAN DATOS</v>
      </c>
      <c r="AO8" s="6" t="str">
        <f t="shared" si="4"/>
        <v>FALTAN DATOS</v>
      </c>
      <c r="AP8" s="6" t="str">
        <f t="shared" si="5"/>
        <v>FALTAN DATOS</v>
      </c>
      <c r="AQ8" s="6" t="s">
        <v>159</v>
      </c>
      <c r="AR8" s="14"/>
      <c r="AS8" s="14"/>
      <c r="AT8" s="6"/>
    </row>
    <row r="9" spans="1:46" x14ac:dyDescent="0.25">
      <c r="A9" s="6"/>
      <c r="B9" s="6" t="s">
        <v>70</v>
      </c>
      <c r="C9" s="6" t="s">
        <v>71</v>
      </c>
      <c r="D9" s="6" t="s">
        <v>46</v>
      </c>
      <c r="E9" s="6"/>
      <c r="F9" s="6">
        <v>9236011704</v>
      </c>
      <c r="G9" s="6"/>
      <c r="H9" s="6" t="s">
        <v>48</v>
      </c>
      <c r="I9" s="6" t="s">
        <v>77</v>
      </c>
      <c r="J9" s="6" t="s">
        <v>77</v>
      </c>
      <c r="K9" s="6" t="s">
        <v>85</v>
      </c>
      <c r="L9" s="6" t="s">
        <v>79</v>
      </c>
      <c r="M9" s="8">
        <v>46066</v>
      </c>
      <c r="N9" s="8">
        <v>46067</v>
      </c>
      <c r="O9" s="6"/>
      <c r="P9" s="6" t="s">
        <v>86</v>
      </c>
      <c r="Q9" s="6"/>
      <c r="R9" s="6" t="s">
        <v>62</v>
      </c>
      <c r="S9" s="6" t="s">
        <v>87</v>
      </c>
      <c r="T9" s="8">
        <v>46066</v>
      </c>
      <c r="U9" s="6"/>
      <c r="V9" s="6" t="s">
        <v>81</v>
      </c>
      <c r="W9" s="6" t="s">
        <v>82</v>
      </c>
      <c r="X9" s="8" t="s">
        <v>83</v>
      </c>
      <c r="Y9" s="13" t="s">
        <v>84</v>
      </c>
      <c r="Z9" s="6" t="s">
        <v>48</v>
      </c>
      <c r="AA9" s="14"/>
      <c r="AB9" s="6" t="s">
        <v>76</v>
      </c>
      <c r="AC9" s="8">
        <v>46067</v>
      </c>
      <c r="AD9" s="6">
        <v>0.41666666666666669</v>
      </c>
      <c r="AE9" s="8">
        <v>46067</v>
      </c>
      <c r="AF9" s="6">
        <v>0.58333333333333337</v>
      </c>
      <c r="AG9" s="15">
        <f t="shared" si="0"/>
        <v>0.16666666667151731</v>
      </c>
      <c r="AH9" s="14" t="str">
        <f t="shared" si="1"/>
        <v>ON TIME</v>
      </c>
      <c r="AI9" s="14">
        <f t="shared" si="2"/>
        <v>0</v>
      </c>
      <c r="AJ9" s="8"/>
      <c r="AK9" s="9"/>
      <c r="AL9" s="8"/>
      <c r="AM9" s="14"/>
      <c r="AN9" s="15" t="str">
        <f t="shared" si="3"/>
        <v>FALTAN DATOS</v>
      </c>
      <c r="AO9" s="6" t="str">
        <f t="shared" si="4"/>
        <v>FALTAN DATOS</v>
      </c>
      <c r="AP9" s="6" t="str">
        <f t="shared" si="5"/>
        <v>FALTAN DATOS</v>
      </c>
      <c r="AQ9" s="6" t="s">
        <v>159</v>
      </c>
      <c r="AR9" s="14"/>
      <c r="AS9" s="14"/>
      <c r="AT9" s="6"/>
    </row>
    <row r="10" spans="1:46" x14ac:dyDescent="0.25">
      <c r="A10" s="6"/>
      <c r="B10" s="6" t="s">
        <v>70</v>
      </c>
      <c r="C10" s="6" t="s">
        <v>71</v>
      </c>
      <c r="D10" s="6" t="s">
        <v>46</v>
      </c>
      <c r="E10" s="6"/>
      <c r="F10" s="6">
        <v>9236011706</v>
      </c>
      <c r="G10" s="6"/>
      <c r="H10" s="6" t="s">
        <v>48</v>
      </c>
      <c r="I10" s="6" t="s">
        <v>77</v>
      </c>
      <c r="J10" s="6" t="s">
        <v>77</v>
      </c>
      <c r="K10" s="6" t="s">
        <v>88</v>
      </c>
      <c r="L10" s="6" t="s">
        <v>79</v>
      </c>
      <c r="M10" s="8">
        <v>46035</v>
      </c>
      <c r="N10" s="8">
        <v>46067</v>
      </c>
      <c r="O10" s="6"/>
      <c r="P10" s="6" t="s">
        <v>86</v>
      </c>
      <c r="Q10" s="6"/>
      <c r="R10" s="6" t="s">
        <v>62</v>
      </c>
      <c r="S10" s="6" t="s">
        <v>89</v>
      </c>
      <c r="T10" s="8">
        <v>46066</v>
      </c>
      <c r="U10" s="6"/>
      <c r="V10" s="6" t="s">
        <v>81</v>
      </c>
      <c r="W10" s="6" t="s">
        <v>82</v>
      </c>
      <c r="X10" s="8" t="s">
        <v>83</v>
      </c>
      <c r="Y10" s="13" t="s">
        <v>84</v>
      </c>
      <c r="Z10" s="6" t="s">
        <v>48</v>
      </c>
      <c r="AA10" s="14"/>
      <c r="AB10" s="6" t="s">
        <v>76</v>
      </c>
      <c r="AC10" s="8">
        <v>46067</v>
      </c>
      <c r="AD10" s="6">
        <v>0.41666666666666669</v>
      </c>
      <c r="AE10" s="8">
        <v>46067</v>
      </c>
      <c r="AF10" s="6">
        <v>0.58333333333333337</v>
      </c>
      <c r="AG10" s="15">
        <f t="shared" si="0"/>
        <v>0.16666666667151731</v>
      </c>
      <c r="AH10" s="14" t="str">
        <f t="shared" si="1"/>
        <v>ON TIME</v>
      </c>
      <c r="AI10" s="14">
        <f t="shared" si="2"/>
        <v>0</v>
      </c>
      <c r="AJ10" s="8"/>
      <c r="AK10" s="9"/>
      <c r="AL10" s="8"/>
      <c r="AM10" s="14"/>
      <c r="AN10" s="15" t="str">
        <f t="shared" si="3"/>
        <v>FALTAN DATOS</v>
      </c>
      <c r="AO10" s="6" t="str">
        <f t="shared" si="4"/>
        <v>FALTAN DATOS</v>
      </c>
      <c r="AP10" s="6" t="str">
        <f t="shared" si="5"/>
        <v>FALTAN DATOS</v>
      </c>
      <c r="AQ10" s="6" t="s">
        <v>159</v>
      </c>
      <c r="AR10" s="14"/>
      <c r="AS10" s="14"/>
      <c r="AT10" s="6"/>
    </row>
    <row r="11" spans="1:46" x14ac:dyDescent="0.25">
      <c r="A11" s="6">
        <v>8</v>
      </c>
      <c r="B11" s="6" t="s">
        <v>70</v>
      </c>
      <c r="C11" s="6" t="s">
        <v>71</v>
      </c>
      <c r="D11" s="6" t="s">
        <v>46</v>
      </c>
      <c r="E11" s="6" t="s">
        <v>57</v>
      </c>
      <c r="F11" s="6">
        <v>9236011662</v>
      </c>
      <c r="G11" s="6"/>
      <c r="H11" s="6" t="s">
        <v>48</v>
      </c>
      <c r="I11" s="6" t="s">
        <v>90</v>
      </c>
      <c r="J11" s="6" t="s">
        <v>90</v>
      </c>
      <c r="K11" s="6" t="s">
        <v>91</v>
      </c>
      <c r="L11" s="6" t="s">
        <v>92</v>
      </c>
      <c r="M11" s="8">
        <v>46066</v>
      </c>
      <c r="N11" s="8">
        <v>46067</v>
      </c>
      <c r="O11" s="6"/>
      <c r="P11" s="6" t="s">
        <v>86</v>
      </c>
      <c r="Q11" s="6"/>
      <c r="R11" s="6" t="s">
        <v>62</v>
      </c>
      <c r="S11" s="6" t="s">
        <v>93</v>
      </c>
      <c r="T11" s="8">
        <v>46066</v>
      </c>
      <c r="U11" s="6"/>
      <c r="V11" s="6" t="s">
        <v>94</v>
      </c>
      <c r="W11" s="6" t="s">
        <v>65</v>
      </c>
      <c r="X11" s="8" t="s">
        <v>95</v>
      </c>
      <c r="Y11" s="13" t="s">
        <v>96</v>
      </c>
      <c r="Z11" s="6" t="s">
        <v>97</v>
      </c>
      <c r="AA11" s="14"/>
      <c r="AB11" s="6" t="s">
        <v>69</v>
      </c>
      <c r="AC11" s="8">
        <v>46067</v>
      </c>
      <c r="AD11" s="6">
        <v>0.41666666666666669</v>
      </c>
      <c r="AE11" s="8">
        <v>46067</v>
      </c>
      <c r="AF11" s="6">
        <v>0.58333333333333337</v>
      </c>
      <c r="AG11" s="15">
        <f t="shared" si="0"/>
        <v>0.16666666667151731</v>
      </c>
      <c r="AH11" s="14" t="str">
        <f t="shared" si="1"/>
        <v>ON TIME</v>
      </c>
      <c r="AI11" s="14">
        <f t="shared" si="2"/>
        <v>0</v>
      </c>
      <c r="AJ11" s="8"/>
      <c r="AK11" s="9"/>
      <c r="AL11" s="8"/>
      <c r="AM11" s="14"/>
      <c r="AN11" s="15" t="str">
        <f t="shared" si="3"/>
        <v>FALTAN DATOS</v>
      </c>
      <c r="AO11" s="6" t="str">
        <f t="shared" si="4"/>
        <v>FALTAN DATOS</v>
      </c>
      <c r="AP11" s="6" t="str">
        <f t="shared" si="5"/>
        <v>FALTAN DATOS</v>
      </c>
      <c r="AQ11" s="6" t="s">
        <v>159</v>
      </c>
      <c r="AR11" s="14"/>
      <c r="AS11" s="14"/>
      <c r="AT11" s="6"/>
    </row>
    <row r="12" spans="1:46" x14ac:dyDescent="0.25">
      <c r="A12" s="6">
        <v>9</v>
      </c>
      <c r="B12" s="6" t="s">
        <v>70</v>
      </c>
      <c r="C12" s="6" t="s">
        <v>71</v>
      </c>
      <c r="D12" s="6" t="s">
        <v>46</v>
      </c>
      <c r="E12" s="6" t="s">
        <v>57</v>
      </c>
      <c r="F12" s="6">
        <v>9236011664</v>
      </c>
      <c r="G12" s="6"/>
      <c r="H12" s="6" t="s">
        <v>48</v>
      </c>
      <c r="I12" s="6" t="s">
        <v>90</v>
      </c>
      <c r="J12" s="6" t="s">
        <v>90</v>
      </c>
      <c r="K12" s="6" t="s">
        <v>98</v>
      </c>
      <c r="L12" s="6" t="s">
        <v>92</v>
      </c>
      <c r="M12" s="8">
        <v>46066</v>
      </c>
      <c r="N12" s="8">
        <v>46067</v>
      </c>
      <c r="O12" s="6"/>
      <c r="P12" s="6" t="s">
        <v>86</v>
      </c>
      <c r="Q12" s="6"/>
      <c r="R12" s="6" t="s">
        <v>62</v>
      </c>
      <c r="S12" s="6" t="s">
        <v>99</v>
      </c>
      <c r="T12" s="8">
        <v>46066</v>
      </c>
      <c r="U12" s="6"/>
      <c r="V12" s="6" t="s">
        <v>100</v>
      </c>
      <c r="W12" s="6" t="s">
        <v>65</v>
      </c>
      <c r="X12" s="8" t="s">
        <v>95</v>
      </c>
      <c r="Y12" s="13" t="s">
        <v>96</v>
      </c>
      <c r="Z12" s="6" t="s">
        <v>97</v>
      </c>
      <c r="AA12" s="14"/>
      <c r="AB12" s="6" t="s">
        <v>69</v>
      </c>
      <c r="AC12" s="8">
        <v>46067</v>
      </c>
      <c r="AD12" s="6">
        <v>0.41666666666666669</v>
      </c>
      <c r="AE12" s="8">
        <v>46067</v>
      </c>
      <c r="AF12" s="6">
        <v>0.58333333333333337</v>
      </c>
      <c r="AG12" s="15">
        <f t="shared" si="0"/>
        <v>0.16666666667151731</v>
      </c>
      <c r="AH12" s="14" t="str">
        <f t="shared" si="1"/>
        <v>ON TIME</v>
      </c>
      <c r="AI12" s="14">
        <f t="shared" si="2"/>
        <v>0</v>
      </c>
      <c r="AJ12" s="8"/>
      <c r="AK12" s="9"/>
      <c r="AL12" s="8"/>
      <c r="AM12" s="14"/>
      <c r="AN12" s="15" t="str">
        <f t="shared" si="3"/>
        <v>FALTAN DATOS</v>
      </c>
      <c r="AO12" s="6" t="str">
        <f t="shared" si="4"/>
        <v>FALTAN DATOS</v>
      </c>
      <c r="AP12" s="6" t="str">
        <f t="shared" si="5"/>
        <v>FALTAN DATOS</v>
      </c>
      <c r="AQ12" s="6" t="s">
        <v>159</v>
      </c>
      <c r="AR12" s="14"/>
      <c r="AS12" s="14"/>
      <c r="AT12" s="6"/>
    </row>
    <row r="13" spans="1:46" x14ac:dyDescent="0.25">
      <c r="A13" s="6"/>
      <c r="B13" s="6" t="s">
        <v>70</v>
      </c>
      <c r="C13" s="6" t="s">
        <v>71</v>
      </c>
      <c r="D13" s="6" t="s">
        <v>46</v>
      </c>
      <c r="E13" s="6"/>
      <c r="F13" s="6">
        <v>9236011663</v>
      </c>
      <c r="G13" s="6"/>
      <c r="H13" s="6" t="s">
        <v>48</v>
      </c>
      <c r="I13" s="6" t="s">
        <v>90</v>
      </c>
      <c r="J13" s="6" t="s">
        <v>90</v>
      </c>
      <c r="K13" s="6" t="s">
        <v>101</v>
      </c>
      <c r="L13" s="6" t="s">
        <v>92</v>
      </c>
      <c r="M13" s="8">
        <v>46066</v>
      </c>
      <c r="N13" s="8">
        <v>46067</v>
      </c>
      <c r="O13" s="6"/>
      <c r="P13" s="6" t="s">
        <v>86</v>
      </c>
      <c r="Q13" s="6"/>
      <c r="R13" s="6" t="s">
        <v>62</v>
      </c>
      <c r="S13" s="6" t="s">
        <v>102</v>
      </c>
      <c r="T13" s="8">
        <v>46066</v>
      </c>
      <c r="U13" s="6"/>
      <c r="V13" s="6" t="s">
        <v>100</v>
      </c>
      <c r="W13" s="6" t="s">
        <v>65</v>
      </c>
      <c r="X13" s="8" t="s">
        <v>95</v>
      </c>
      <c r="Y13" s="13" t="s">
        <v>96</v>
      </c>
      <c r="Z13" s="6" t="s">
        <v>97</v>
      </c>
      <c r="AA13" s="14"/>
      <c r="AB13" s="6" t="s">
        <v>69</v>
      </c>
      <c r="AC13" s="8">
        <v>46067</v>
      </c>
      <c r="AD13" s="6">
        <v>0.41666666666666669</v>
      </c>
      <c r="AE13" s="8">
        <v>46067</v>
      </c>
      <c r="AF13" s="6">
        <v>0.58333333333333337</v>
      </c>
      <c r="AG13" s="15">
        <f t="shared" si="0"/>
        <v>0.16666666667151731</v>
      </c>
      <c r="AH13" s="14" t="str">
        <f t="shared" si="1"/>
        <v>ON TIME</v>
      </c>
      <c r="AI13" s="14">
        <f t="shared" si="2"/>
        <v>0</v>
      </c>
      <c r="AJ13" s="8"/>
      <c r="AK13" s="9"/>
      <c r="AL13" s="8"/>
      <c r="AM13" s="14"/>
      <c r="AN13" s="15" t="str">
        <f t="shared" si="3"/>
        <v>FALTAN DATOS</v>
      </c>
      <c r="AO13" s="6" t="str">
        <f t="shared" si="4"/>
        <v>FALTAN DATOS</v>
      </c>
      <c r="AP13" s="6" t="str">
        <f t="shared" si="5"/>
        <v>FALTAN DATOS</v>
      </c>
      <c r="AQ13" s="6" t="s">
        <v>159</v>
      </c>
      <c r="AR13" s="14"/>
      <c r="AS13" s="14"/>
      <c r="AT13" s="6"/>
    </row>
    <row r="14" spans="1:46" x14ac:dyDescent="0.25">
      <c r="A14" s="6"/>
      <c r="B14" s="6" t="s">
        <v>70</v>
      </c>
      <c r="C14" s="6" t="s">
        <v>71</v>
      </c>
      <c r="D14" s="6" t="s">
        <v>46</v>
      </c>
      <c r="E14" s="6"/>
      <c r="F14" s="6">
        <v>9236011667</v>
      </c>
      <c r="G14" s="6"/>
      <c r="H14" s="6" t="s">
        <v>48</v>
      </c>
      <c r="I14" s="6" t="s">
        <v>90</v>
      </c>
      <c r="J14" s="6" t="s">
        <v>90</v>
      </c>
      <c r="K14" s="6" t="s">
        <v>78</v>
      </c>
      <c r="L14" s="6" t="s">
        <v>92</v>
      </c>
      <c r="M14" s="8">
        <v>46066</v>
      </c>
      <c r="N14" s="8">
        <v>46067</v>
      </c>
      <c r="O14" s="6"/>
      <c r="P14" s="8">
        <v>46069</v>
      </c>
      <c r="Q14" s="9">
        <v>0.83333333333333337</v>
      </c>
      <c r="R14" s="6" t="s">
        <v>62</v>
      </c>
      <c r="S14" s="6" t="s">
        <v>103</v>
      </c>
      <c r="T14" s="8">
        <v>46066</v>
      </c>
      <c r="U14" s="6"/>
      <c r="V14" s="6" t="s">
        <v>100</v>
      </c>
      <c r="W14" s="6" t="s">
        <v>65</v>
      </c>
      <c r="X14" s="8" t="s">
        <v>95</v>
      </c>
      <c r="Y14" s="13" t="s">
        <v>96</v>
      </c>
      <c r="Z14" s="6" t="s">
        <v>97</v>
      </c>
      <c r="AA14" s="14"/>
      <c r="AB14" s="6" t="s">
        <v>69</v>
      </c>
      <c r="AC14" s="8">
        <v>46067</v>
      </c>
      <c r="AD14" s="6">
        <v>0.41666666666666669</v>
      </c>
      <c r="AE14" s="8">
        <v>46067</v>
      </c>
      <c r="AF14" s="6">
        <v>0.58333333333333337</v>
      </c>
      <c r="AG14" s="15">
        <f t="shared" si="0"/>
        <v>0.16666666667151731</v>
      </c>
      <c r="AH14" s="14" t="str">
        <f t="shared" si="1"/>
        <v>ON TIME</v>
      </c>
      <c r="AI14" s="14">
        <f t="shared" si="2"/>
        <v>0</v>
      </c>
      <c r="AJ14" s="8"/>
      <c r="AK14" s="9"/>
      <c r="AL14" s="8"/>
      <c r="AM14" s="14"/>
      <c r="AN14" s="15" t="str">
        <f t="shared" si="3"/>
        <v>FALTAN DATOS</v>
      </c>
      <c r="AO14" s="6" t="str">
        <f t="shared" si="4"/>
        <v>FALTAN DATOS</v>
      </c>
      <c r="AP14" s="6" t="str">
        <f t="shared" si="5"/>
        <v>FALTAN DATOS</v>
      </c>
      <c r="AQ14" s="6" t="s">
        <v>159</v>
      </c>
      <c r="AR14" s="14"/>
      <c r="AS14" s="14"/>
      <c r="AT14" s="6"/>
    </row>
    <row r="15" spans="1:46" x14ac:dyDescent="0.25">
      <c r="A15" s="6"/>
      <c r="B15" s="6" t="s">
        <v>70</v>
      </c>
      <c r="C15" s="6" t="s">
        <v>71</v>
      </c>
      <c r="D15" s="6" t="s">
        <v>46</v>
      </c>
      <c r="E15" s="6"/>
      <c r="F15" s="6">
        <v>9236011671</v>
      </c>
      <c r="G15" s="6"/>
      <c r="H15" s="6" t="s">
        <v>48</v>
      </c>
      <c r="I15" s="6" t="s">
        <v>90</v>
      </c>
      <c r="J15" s="6" t="s">
        <v>90</v>
      </c>
      <c r="K15" s="6" t="s">
        <v>104</v>
      </c>
      <c r="L15" s="6" t="s">
        <v>92</v>
      </c>
      <c r="M15" s="8">
        <v>46066</v>
      </c>
      <c r="N15" s="8">
        <v>46067</v>
      </c>
      <c r="O15" s="6"/>
      <c r="P15" s="8">
        <v>46069</v>
      </c>
      <c r="Q15" s="9">
        <v>0.29166666666666669</v>
      </c>
      <c r="R15" s="6" t="s">
        <v>62</v>
      </c>
      <c r="S15" s="6" t="s">
        <v>105</v>
      </c>
      <c r="T15" s="8">
        <v>46066</v>
      </c>
      <c r="U15" s="6"/>
      <c r="V15" s="6" t="s">
        <v>100</v>
      </c>
      <c r="W15" s="6" t="s">
        <v>65</v>
      </c>
      <c r="X15" s="8" t="s">
        <v>95</v>
      </c>
      <c r="Y15" s="13" t="s">
        <v>96</v>
      </c>
      <c r="Z15" s="6" t="s">
        <v>97</v>
      </c>
      <c r="AA15" s="14"/>
      <c r="AB15" s="6" t="s">
        <v>69</v>
      </c>
      <c r="AC15" s="8">
        <v>46067</v>
      </c>
      <c r="AD15" s="6">
        <v>0.41666666666666669</v>
      </c>
      <c r="AE15" s="8">
        <v>46067</v>
      </c>
      <c r="AF15" s="6">
        <v>0.58333333333333337</v>
      </c>
      <c r="AG15" s="15">
        <f t="shared" si="0"/>
        <v>0.16666666667151731</v>
      </c>
      <c r="AH15" s="14" t="str">
        <f t="shared" si="1"/>
        <v>ON TIME</v>
      </c>
      <c r="AI15" s="14">
        <f t="shared" si="2"/>
        <v>0</v>
      </c>
      <c r="AJ15" s="8"/>
      <c r="AK15" s="9"/>
      <c r="AL15" s="8"/>
      <c r="AM15" s="14"/>
      <c r="AN15" s="15" t="str">
        <f t="shared" si="3"/>
        <v>FALTAN DATOS</v>
      </c>
      <c r="AO15" s="6" t="str">
        <f t="shared" si="4"/>
        <v>FALTAN DATOS</v>
      </c>
      <c r="AP15" s="6" t="str">
        <f t="shared" si="5"/>
        <v>FALTAN DATOS</v>
      </c>
      <c r="AQ15" s="6" t="s">
        <v>159</v>
      </c>
      <c r="AR15" s="14"/>
      <c r="AS15" s="14"/>
      <c r="AT15" s="6"/>
    </row>
    <row r="16" spans="1:46" x14ac:dyDescent="0.25">
      <c r="A16" s="6"/>
      <c r="B16" s="6" t="s">
        <v>70</v>
      </c>
      <c r="C16" s="6" t="s">
        <v>71</v>
      </c>
      <c r="D16" s="6" t="s">
        <v>46</v>
      </c>
      <c r="E16" s="6"/>
      <c r="F16" s="6">
        <v>9236011707</v>
      </c>
      <c r="G16" s="6"/>
      <c r="H16" s="6" t="s">
        <v>48</v>
      </c>
      <c r="I16" s="6" t="s">
        <v>90</v>
      </c>
      <c r="J16" s="6" t="s">
        <v>90</v>
      </c>
      <c r="K16" s="6" t="s">
        <v>88</v>
      </c>
      <c r="L16" s="6" t="s">
        <v>92</v>
      </c>
      <c r="M16" s="8">
        <v>46066</v>
      </c>
      <c r="N16" s="8">
        <v>46067</v>
      </c>
      <c r="O16" s="6"/>
      <c r="P16" s="6" t="s">
        <v>86</v>
      </c>
      <c r="Q16" s="6"/>
      <c r="R16" s="6" t="s">
        <v>62</v>
      </c>
      <c r="S16" s="6" t="s">
        <v>106</v>
      </c>
      <c r="T16" s="8">
        <v>46066</v>
      </c>
      <c r="U16" s="6"/>
      <c r="V16" s="6" t="s">
        <v>100</v>
      </c>
      <c r="W16" s="6" t="s">
        <v>65</v>
      </c>
      <c r="X16" s="8" t="s">
        <v>95</v>
      </c>
      <c r="Y16" s="13" t="s">
        <v>96</v>
      </c>
      <c r="Z16" s="6" t="s">
        <v>97</v>
      </c>
      <c r="AA16" s="14"/>
      <c r="AB16" s="6" t="s">
        <v>69</v>
      </c>
      <c r="AC16" s="8">
        <v>46067</v>
      </c>
      <c r="AD16" s="6">
        <v>0.41666666666666669</v>
      </c>
      <c r="AE16" s="8">
        <v>46067</v>
      </c>
      <c r="AF16" s="6">
        <v>0.58333333333333337</v>
      </c>
      <c r="AG16" s="15">
        <f t="shared" si="0"/>
        <v>0.16666666667151731</v>
      </c>
      <c r="AH16" s="14" t="str">
        <f t="shared" si="1"/>
        <v>ON TIME</v>
      </c>
      <c r="AI16" s="14">
        <f t="shared" si="2"/>
        <v>0</v>
      </c>
      <c r="AJ16" s="8"/>
      <c r="AK16" s="9"/>
      <c r="AL16" s="8"/>
      <c r="AM16" s="14"/>
      <c r="AN16" s="15" t="str">
        <f t="shared" si="3"/>
        <v>FALTAN DATOS</v>
      </c>
      <c r="AO16" s="6" t="str">
        <f t="shared" si="4"/>
        <v>FALTAN DATOS</v>
      </c>
      <c r="AP16" s="6" t="str">
        <f t="shared" si="5"/>
        <v>FALTAN DATOS</v>
      </c>
      <c r="AQ16" s="6" t="s">
        <v>159</v>
      </c>
      <c r="AR16" s="14"/>
      <c r="AS16" s="14"/>
      <c r="AT16" s="6"/>
    </row>
    <row r="17" spans="1:46" x14ac:dyDescent="0.25">
      <c r="A17" s="6">
        <v>10</v>
      </c>
      <c r="B17" s="6" t="s">
        <v>70</v>
      </c>
      <c r="C17" s="6" t="s">
        <v>71</v>
      </c>
      <c r="D17" s="6" t="s">
        <v>46</v>
      </c>
      <c r="E17" s="6" t="s">
        <v>107</v>
      </c>
      <c r="F17" s="6" t="s">
        <v>108</v>
      </c>
      <c r="G17" s="6"/>
      <c r="H17" s="6" t="s">
        <v>48</v>
      </c>
      <c r="I17" s="6" t="s">
        <v>109</v>
      </c>
      <c r="J17" s="6" t="s">
        <v>59</v>
      </c>
      <c r="K17" s="6" t="s">
        <v>110</v>
      </c>
      <c r="L17" s="6" t="s">
        <v>111</v>
      </c>
      <c r="M17" s="8">
        <v>46066</v>
      </c>
      <c r="N17" s="8">
        <v>46067</v>
      </c>
      <c r="O17" s="6"/>
      <c r="P17" s="8">
        <v>46069</v>
      </c>
      <c r="Q17" s="9">
        <v>8.3333333333333329E-2</v>
      </c>
      <c r="R17" s="6" t="s">
        <v>62</v>
      </c>
      <c r="S17" s="6" t="s">
        <v>112</v>
      </c>
      <c r="T17" s="8">
        <v>46066</v>
      </c>
      <c r="U17" s="6"/>
      <c r="V17" s="6" t="s">
        <v>113</v>
      </c>
      <c r="W17" s="6" t="s">
        <v>82</v>
      </c>
      <c r="X17" s="8" t="s">
        <v>114</v>
      </c>
      <c r="Y17" s="13" t="s">
        <v>115</v>
      </c>
      <c r="Z17" s="6" t="s">
        <v>48</v>
      </c>
      <c r="AA17" s="14"/>
      <c r="AB17" s="6" t="s">
        <v>116</v>
      </c>
      <c r="AC17" s="8">
        <v>46067</v>
      </c>
      <c r="AD17" s="6">
        <v>0.41666666666666669</v>
      </c>
      <c r="AE17" s="8">
        <v>46067</v>
      </c>
      <c r="AF17" s="6">
        <v>0.58333333333333337</v>
      </c>
      <c r="AG17" s="15">
        <f t="shared" si="0"/>
        <v>0.16666666667151731</v>
      </c>
      <c r="AH17" s="14" t="str">
        <f t="shared" si="1"/>
        <v>ON TIME</v>
      </c>
      <c r="AI17" s="14">
        <f t="shared" si="2"/>
        <v>0</v>
      </c>
      <c r="AJ17" s="8"/>
      <c r="AK17" s="9"/>
      <c r="AL17" s="8"/>
      <c r="AM17" s="14"/>
      <c r="AN17" s="15" t="str">
        <f t="shared" si="3"/>
        <v>FALTAN DATOS</v>
      </c>
      <c r="AO17" s="6" t="str">
        <f t="shared" si="4"/>
        <v>FALTAN DATOS</v>
      </c>
      <c r="AP17" s="6" t="str">
        <f t="shared" si="5"/>
        <v>FALTAN DATOS</v>
      </c>
      <c r="AQ17" s="6" t="s">
        <v>159</v>
      </c>
      <c r="AR17" s="14"/>
      <c r="AS17" s="14"/>
      <c r="AT17" s="6"/>
    </row>
    <row r="18" spans="1:46" x14ac:dyDescent="0.25">
      <c r="A18" s="6">
        <v>11</v>
      </c>
      <c r="B18" s="6" t="s">
        <v>70</v>
      </c>
      <c r="C18" s="6" t="s">
        <v>71</v>
      </c>
      <c r="D18" s="6" t="s">
        <v>46</v>
      </c>
      <c r="E18" s="6"/>
      <c r="F18" s="6" t="s">
        <v>117</v>
      </c>
      <c r="G18" s="6"/>
      <c r="H18" s="6" t="s">
        <v>48</v>
      </c>
      <c r="I18" s="6" t="s">
        <v>109</v>
      </c>
      <c r="J18" s="6" t="s">
        <v>59</v>
      </c>
      <c r="K18" s="6" t="s">
        <v>118</v>
      </c>
      <c r="L18" s="6" t="s">
        <v>119</v>
      </c>
      <c r="M18" s="8">
        <v>46066</v>
      </c>
      <c r="N18" s="8">
        <v>46067</v>
      </c>
      <c r="O18" s="6"/>
      <c r="P18" s="8">
        <v>46069</v>
      </c>
      <c r="Q18" s="9">
        <v>0.33333333333333331</v>
      </c>
      <c r="R18" s="6" t="s">
        <v>62</v>
      </c>
      <c r="S18" s="6" t="s">
        <v>120</v>
      </c>
      <c r="T18" s="8">
        <v>46066</v>
      </c>
      <c r="U18" s="6"/>
      <c r="V18" s="6" t="s">
        <v>121</v>
      </c>
      <c r="W18" s="6" t="s">
        <v>122</v>
      </c>
      <c r="X18" s="8" t="s">
        <v>123</v>
      </c>
      <c r="Y18" s="13" t="s">
        <v>124</v>
      </c>
      <c r="Z18" s="6" t="s">
        <v>48</v>
      </c>
      <c r="AA18" s="14"/>
      <c r="AB18" s="6" t="s">
        <v>116</v>
      </c>
      <c r="AC18" s="8">
        <v>46067</v>
      </c>
      <c r="AD18" s="6">
        <v>0.41666666666666669</v>
      </c>
      <c r="AE18" s="8">
        <v>46067</v>
      </c>
      <c r="AF18" s="6">
        <v>0.58333333333333337</v>
      </c>
      <c r="AG18" s="15">
        <f t="shared" si="0"/>
        <v>0.16666666667151731</v>
      </c>
      <c r="AH18" s="14" t="str">
        <f t="shared" si="1"/>
        <v>ON TIME</v>
      </c>
      <c r="AI18" s="14">
        <f t="shared" si="2"/>
        <v>0</v>
      </c>
      <c r="AJ18" s="8"/>
      <c r="AK18" s="9"/>
      <c r="AL18" s="8"/>
      <c r="AM18" s="14"/>
      <c r="AN18" s="15" t="str">
        <f t="shared" si="3"/>
        <v>FALTAN DATOS</v>
      </c>
      <c r="AO18" s="6" t="str">
        <f t="shared" si="4"/>
        <v>FALTAN DATOS</v>
      </c>
      <c r="AP18" s="6" t="str">
        <f t="shared" si="5"/>
        <v>FALTAN DATOS</v>
      </c>
      <c r="AQ18" s="6" t="s">
        <v>159</v>
      </c>
      <c r="AR18" s="14"/>
      <c r="AS18" s="14"/>
      <c r="AT18" s="6"/>
    </row>
    <row r="19" spans="1:46" x14ac:dyDescent="0.25">
      <c r="A19" s="6">
        <v>12</v>
      </c>
      <c r="B19" s="6" t="s">
        <v>70</v>
      </c>
      <c r="C19" s="6" t="s">
        <v>71</v>
      </c>
      <c r="D19" s="6" t="s">
        <v>46</v>
      </c>
      <c r="E19" s="6" t="s">
        <v>107</v>
      </c>
      <c r="F19" s="6">
        <v>9236011659</v>
      </c>
      <c r="G19" s="6"/>
      <c r="H19" s="6" t="s">
        <v>48</v>
      </c>
      <c r="I19" s="6" t="s">
        <v>109</v>
      </c>
      <c r="J19" s="6" t="s">
        <v>59</v>
      </c>
      <c r="K19" s="6" t="s">
        <v>125</v>
      </c>
      <c r="L19" s="6" t="s">
        <v>126</v>
      </c>
      <c r="M19" s="8">
        <v>46066</v>
      </c>
      <c r="N19" s="8">
        <v>46069</v>
      </c>
      <c r="O19" s="6"/>
      <c r="P19" s="8">
        <v>46069</v>
      </c>
      <c r="Q19" s="6"/>
      <c r="R19" s="6" t="s">
        <v>62</v>
      </c>
      <c r="S19" s="6" t="s">
        <v>127</v>
      </c>
      <c r="T19" s="8">
        <v>46069</v>
      </c>
      <c r="U19" s="6"/>
      <c r="V19" s="6" t="s">
        <v>128</v>
      </c>
      <c r="W19" s="6" t="s">
        <v>129</v>
      </c>
      <c r="X19" s="8" t="s">
        <v>130</v>
      </c>
      <c r="Y19" s="13" t="s">
        <v>131</v>
      </c>
      <c r="Z19" s="6" t="s">
        <v>48</v>
      </c>
      <c r="AA19" s="14"/>
      <c r="AB19" s="6" t="s">
        <v>116</v>
      </c>
      <c r="AC19" s="8">
        <v>46069</v>
      </c>
      <c r="AD19" s="9">
        <v>0.33333333333333331</v>
      </c>
      <c r="AE19" s="8">
        <v>46069</v>
      </c>
      <c r="AF19" s="9">
        <v>0.54166666666666663</v>
      </c>
      <c r="AG19" s="15">
        <f t="shared" si="0"/>
        <v>0.20833333332848269</v>
      </c>
      <c r="AH19" s="14" t="str">
        <f t="shared" si="1"/>
        <v>ON TIME</v>
      </c>
      <c r="AI19" s="14">
        <f t="shared" si="2"/>
        <v>0</v>
      </c>
      <c r="AJ19" s="8"/>
      <c r="AK19" s="9"/>
      <c r="AL19" s="8"/>
      <c r="AM19" s="14"/>
      <c r="AN19" s="15" t="str">
        <f t="shared" si="3"/>
        <v>FALTAN DATOS</v>
      </c>
      <c r="AO19" s="6" t="str">
        <f t="shared" si="4"/>
        <v>FALTAN DATOS</v>
      </c>
      <c r="AP19" s="6" t="str">
        <f t="shared" si="5"/>
        <v>FALTAN DATOS</v>
      </c>
      <c r="AQ19" s="6" t="s">
        <v>159</v>
      </c>
      <c r="AR19" s="14"/>
      <c r="AS19" s="14"/>
      <c r="AT19" s="6"/>
    </row>
    <row r="20" spans="1:46" x14ac:dyDescent="0.25">
      <c r="A20" s="6">
        <v>13</v>
      </c>
      <c r="B20" s="6" t="s">
        <v>70</v>
      </c>
      <c r="C20" s="6" t="s">
        <v>71</v>
      </c>
      <c r="D20" s="6" t="s">
        <v>46</v>
      </c>
      <c r="E20" s="6" t="s">
        <v>57</v>
      </c>
      <c r="F20" s="6">
        <v>9236011661</v>
      </c>
      <c r="G20" s="6"/>
      <c r="H20" s="6" t="s">
        <v>48</v>
      </c>
      <c r="I20" s="6" t="s">
        <v>109</v>
      </c>
      <c r="J20" s="6" t="s">
        <v>59</v>
      </c>
      <c r="K20" s="6" t="s">
        <v>110</v>
      </c>
      <c r="L20" s="6" t="s">
        <v>111</v>
      </c>
      <c r="M20" s="8">
        <v>46066</v>
      </c>
      <c r="N20" s="8">
        <v>46069</v>
      </c>
      <c r="O20" s="6"/>
      <c r="P20" s="8">
        <v>46069</v>
      </c>
      <c r="Q20" s="6"/>
      <c r="R20" s="6" t="s">
        <v>62</v>
      </c>
      <c r="S20" s="6" t="s">
        <v>132</v>
      </c>
      <c r="T20" s="8">
        <v>46069</v>
      </c>
      <c r="U20" s="6"/>
      <c r="V20" s="6" t="s">
        <v>133</v>
      </c>
      <c r="W20" s="6" t="s">
        <v>129</v>
      </c>
      <c r="X20" s="8" t="s">
        <v>134</v>
      </c>
      <c r="Y20" s="13" t="s">
        <v>135</v>
      </c>
      <c r="Z20" s="6" t="s">
        <v>136</v>
      </c>
      <c r="AA20" s="14"/>
      <c r="AB20" s="6" t="s">
        <v>69</v>
      </c>
      <c r="AC20" s="8">
        <v>46069</v>
      </c>
      <c r="AD20" s="9">
        <v>0.33333333333333331</v>
      </c>
      <c r="AE20" s="8">
        <v>46069</v>
      </c>
      <c r="AF20" s="9">
        <v>0.58333333333333337</v>
      </c>
      <c r="AG20" s="15">
        <f t="shared" si="0"/>
        <v>0.25</v>
      </c>
      <c r="AH20" s="14" t="str">
        <f t="shared" si="1"/>
        <v>ON TIME</v>
      </c>
      <c r="AI20" s="14">
        <f t="shared" si="2"/>
        <v>0</v>
      </c>
      <c r="AJ20" s="8"/>
      <c r="AK20" s="9"/>
      <c r="AL20" s="8"/>
      <c r="AM20" s="14"/>
      <c r="AN20" s="15" t="str">
        <f t="shared" si="3"/>
        <v>FALTAN DATOS</v>
      </c>
      <c r="AO20" s="6" t="str">
        <f t="shared" si="4"/>
        <v>FALTAN DATOS</v>
      </c>
      <c r="AP20" s="6" t="str">
        <f t="shared" si="5"/>
        <v>FALTAN DATOS</v>
      </c>
      <c r="AQ20" s="6" t="s">
        <v>159</v>
      </c>
      <c r="AR20" s="14"/>
      <c r="AS20" s="14"/>
      <c r="AT20" s="6"/>
    </row>
    <row r="21" spans="1:46" x14ac:dyDescent="0.25">
      <c r="A21" s="6">
        <v>14</v>
      </c>
      <c r="B21" s="6" t="s">
        <v>70</v>
      </c>
      <c r="C21" s="6" t="s">
        <v>71</v>
      </c>
      <c r="D21" s="6" t="s">
        <v>46</v>
      </c>
      <c r="E21" s="6" t="s">
        <v>107</v>
      </c>
      <c r="F21" s="6"/>
      <c r="G21" s="6"/>
      <c r="H21" s="6" t="s">
        <v>48</v>
      </c>
      <c r="I21" s="6" t="s">
        <v>109</v>
      </c>
      <c r="J21" s="6" t="s">
        <v>59</v>
      </c>
      <c r="K21" s="6" t="s">
        <v>137</v>
      </c>
      <c r="L21" s="6" t="s">
        <v>138</v>
      </c>
      <c r="M21" s="8">
        <v>46066</v>
      </c>
      <c r="N21" s="8" t="s">
        <v>139</v>
      </c>
      <c r="O21" s="6"/>
      <c r="P21" s="8">
        <v>46070</v>
      </c>
      <c r="Q21" s="6"/>
      <c r="R21" s="6" t="s">
        <v>62</v>
      </c>
      <c r="S21" s="6" t="s">
        <v>140</v>
      </c>
      <c r="T21" s="8">
        <v>46069</v>
      </c>
      <c r="U21" s="6"/>
      <c r="V21" s="6" t="s">
        <v>141</v>
      </c>
      <c r="W21" s="6" t="s">
        <v>82</v>
      </c>
      <c r="X21" s="8" t="s">
        <v>142</v>
      </c>
      <c r="Y21" s="13" t="s">
        <v>143</v>
      </c>
      <c r="Z21" s="6" t="s">
        <v>48</v>
      </c>
      <c r="AA21" s="14"/>
      <c r="AB21" s="6" t="s">
        <v>116</v>
      </c>
      <c r="AC21" s="8">
        <v>46069</v>
      </c>
      <c r="AD21" s="9">
        <v>0.625</v>
      </c>
      <c r="AE21" s="8">
        <v>46069</v>
      </c>
      <c r="AF21" s="9">
        <v>0.70833333333333337</v>
      </c>
      <c r="AG21" s="15">
        <f t="shared" si="0"/>
        <v>8.3333333335758653E-2</v>
      </c>
      <c r="AH21" s="14" t="e">
        <f t="shared" si="1"/>
        <v>#VALUE!</v>
      </c>
      <c r="AI21" s="14" t="e">
        <f t="shared" si="2"/>
        <v>#VALUE!</v>
      </c>
      <c r="AJ21" s="8"/>
      <c r="AK21" s="9"/>
      <c r="AL21" s="8"/>
      <c r="AM21" s="14"/>
      <c r="AN21" s="15" t="str">
        <f t="shared" si="3"/>
        <v>FALTAN DATOS</v>
      </c>
      <c r="AO21" s="6" t="str">
        <f t="shared" si="4"/>
        <v>FALTAN DATOS</v>
      </c>
      <c r="AP21" s="6" t="str">
        <f t="shared" si="5"/>
        <v>FALTAN DATOS</v>
      </c>
      <c r="AQ21" s="6" t="s">
        <v>159</v>
      </c>
      <c r="AR21" s="14"/>
      <c r="AS21" s="14"/>
      <c r="AT21" s="6"/>
    </row>
    <row r="22" spans="1:46" x14ac:dyDescent="0.25">
      <c r="A22" s="6">
        <v>15</v>
      </c>
      <c r="B22" s="6" t="s">
        <v>144</v>
      </c>
      <c r="C22" s="6" t="s">
        <v>145</v>
      </c>
      <c r="D22" s="6" t="s">
        <v>146</v>
      </c>
      <c r="E22" s="6" t="s">
        <v>57</v>
      </c>
      <c r="F22" s="6"/>
      <c r="G22" s="6"/>
      <c r="H22" s="6" t="s">
        <v>48</v>
      </c>
      <c r="I22" s="6" t="s">
        <v>147</v>
      </c>
      <c r="J22" s="6" t="s">
        <v>147</v>
      </c>
      <c r="K22" s="6" t="s">
        <v>148</v>
      </c>
      <c r="L22" s="6" t="s">
        <v>149</v>
      </c>
      <c r="M22" s="8">
        <v>46069</v>
      </c>
      <c r="N22" s="8">
        <v>46070</v>
      </c>
      <c r="O22" s="9">
        <v>0.41666666666666669</v>
      </c>
      <c r="P22" s="8"/>
      <c r="Q22" s="9"/>
      <c r="R22" s="6"/>
      <c r="S22" s="6"/>
      <c r="T22" s="8"/>
      <c r="U22" s="6"/>
      <c r="V22" s="6"/>
      <c r="W22" s="6"/>
      <c r="X22" s="8"/>
      <c r="Y22" s="13"/>
      <c r="Z22" s="6"/>
      <c r="AA22" s="14"/>
      <c r="AB22" s="6"/>
      <c r="AC22" s="8"/>
      <c r="AD22" s="6"/>
      <c r="AE22" s="8"/>
      <c r="AF22" s="6"/>
      <c r="AG22" s="15" t="str">
        <f t="shared" si="0"/>
        <v>FALTAN DATOS</v>
      </c>
      <c r="AH22" s="14" t="str">
        <f t="shared" si="1"/>
        <v>FALTAN DATOS</v>
      </c>
      <c r="AI22" s="14" t="str">
        <f t="shared" si="2"/>
        <v>FALTAN DATOS</v>
      </c>
      <c r="AJ22" s="8"/>
      <c r="AK22" s="9"/>
      <c r="AL22" s="8"/>
      <c r="AM22" s="14"/>
      <c r="AN22" s="15" t="str">
        <f t="shared" si="3"/>
        <v>FALTAN DATOS</v>
      </c>
      <c r="AO22" s="6" t="str">
        <f t="shared" si="4"/>
        <v>FALTAN DATOS</v>
      </c>
      <c r="AP22" s="6" t="str">
        <f t="shared" si="5"/>
        <v>FALTAN DATOS</v>
      </c>
      <c r="AQ22" s="6" t="s">
        <v>159</v>
      </c>
      <c r="AR22" s="14"/>
      <c r="AS22" s="14"/>
      <c r="AT22" s="6"/>
    </row>
    <row r="23" spans="1:46" x14ac:dyDescent="0.25">
      <c r="A23" s="6">
        <v>16</v>
      </c>
      <c r="B23" s="6" t="s">
        <v>70</v>
      </c>
      <c r="C23" s="6" t="s">
        <v>71</v>
      </c>
      <c r="D23" s="6" t="s">
        <v>46</v>
      </c>
      <c r="E23" s="6" t="s">
        <v>107</v>
      </c>
      <c r="F23" s="6">
        <v>9236011652</v>
      </c>
      <c r="G23" s="6"/>
      <c r="H23" s="6" t="s">
        <v>48</v>
      </c>
      <c r="I23" s="6" t="s">
        <v>109</v>
      </c>
      <c r="J23" s="6" t="s">
        <v>59</v>
      </c>
      <c r="K23" s="6" t="s">
        <v>150</v>
      </c>
      <c r="L23" s="6" t="s">
        <v>151</v>
      </c>
      <c r="M23" s="8">
        <v>46069</v>
      </c>
      <c r="N23" s="8">
        <v>46070</v>
      </c>
      <c r="O23" s="6"/>
      <c r="P23" s="8">
        <v>46071</v>
      </c>
      <c r="Q23" s="9">
        <v>0.58333333333333337</v>
      </c>
      <c r="R23" s="6"/>
      <c r="S23" s="6"/>
      <c r="T23" s="8"/>
      <c r="U23" s="6"/>
      <c r="V23" s="6"/>
      <c r="W23" s="6"/>
      <c r="X23" s="8"/>
      <c r="Y23" s="13"/>
      <c r="Z23" s="6"/>
      <c r="AA23" s="14"/>
      <c r="AB23" s="6"/>
      <c r="AC23" s="8"/>
      <c r="AD23" s="6"/>
      <c r="AE23" s="8"/>
      <c r="AF23" s="6"/>
      <c r="AG23" s="15" t="str">
        <f t="shared" si="0"/>
        <v>FALTAN DATOS</v>
      </c>
      <c r="AH23" s="14" t="str">
        <f t="shared" si="1"/>
        <v>FALTAN DATOS</v>
      </c>
      <c r="AI23" s="14" t="str">
        <f t="shared" si="2"/>
        <v>FALTAN DATOS</v>
      </c>
      <c r="AJ23" s="8"/>
      <c r="AK23" s="9"/>
      <c r="AL23" s="8"/>
      <c r="AM23" s="14"/>
      <c r="AN23" s="15" t="str">
        <f t="shared" si="3"/>
        <v>FALTAN DATOS</v>
      </c>
      <c r="AO23" s="6" t="str">
        <f t="shared" si="4"/>
        <v>FALTAN DATOS</v>
      </c>
      <c r="AP23" s="6" t="str">
        <f t="shared" si="5"/>
        <v>FALTAN DATOS</v>
      </c>
      <c r="AQ23" s="6" t="s">
        <v>159</v>
      </c>
      <c r="AR23" s="14"/>
      <c r="AS23" s="14"/>
      <c r="AT23" s="6"/>
    </row>
    <row r="24" spans="1:46" x14ac:dyDescent="0.25">
      <c r="A24" s="6">
        <v>17</v>
      </c>
      <c r="B24" s="6" t="s">
        <v>70</v>
      </c>
      <c r="C24" s="6" t="s">
        <v>71</v>
      </c>
      <c r="D24" s="6" t="s">
        <v>46</v>
      </c>
      <c r="E24" s="6" t="s">
        <v>107</v>
      </c>
      <c r="F24" s="6">
        <v>9236011666</v>
      </c>
      <c r="G24" s="6"/>
      <c r="H24" s="6" t="s">
        <v>48</v>
      </c>
      <c r="I24" s="6" t="s">
        <v>109</v>
      </c>
      <c r="J24" s="6" t="s">
        <v>59</v>
      </c>
      <c r="K24" s="6" t="s">
        <v>152</v>
      </c>
      <c r="L24" s="6" t="s">
        <v>78</v>
      </c>
      <c r="M24" s="8">
        <v>46069</v>
      </c>
      <c r="N24" s="8">
        <v>46070</v>
      </c>
      <c r="O24" s="6"/>
      <c r="P24" s="8">
        <v>46070</v>
      </c>
      <c r="Q24" s="9">
        <v>0.58333333333333337</v>
      </c>
      <c r="R24" s="6"/>
      <c r="S24" s="6"/>
      <c r="T24" s="8"/>
      <c r="U24" s="6"/>
      <c r="V24" s="6"/>
      <c r="W24" s="6"/>
      <c r="X24" s="8"/>
      <c r="Y24" s="13"/>
      <c r="Z24" s="6"/>
      <c r="AA24" s="14"/>
      <c r="AB24" s="6"/>
      <c r="AC24" s="8"/>
      <c r="AD24" s="6"/>
      <c r="AE24" s="8"/>
      <c r="AF24" s="6"/>
      <c r="AG24" s="15" t="str">
        <f t="shared" si="0"/>
        <v>FALTAN DATOS</v>
      </c>
      <c r="AH24" s="14" t="str">
        <f t="shared" si="1"/>
        <v>FALTAN DATOS</v>
      </c>
      <c r="AI24" s="14" t="str">
        <f t="shared" si="2"/>
        <v>FALTAN DATOS</v>
      </c>
      <c r="AJ24" s="8"/>
      <c r="AK24" s="9"/>
      <c r="AL24" s="8"/>
      <c r="AM24" s="14"/>
      <c r="AN24" s="15" t="str">
        <f t="shared" si="3"/>
        <v>FALTAN DATOS</v>
      </c>
      <c r="AO24" s="6" t="str">
        <f t="shared" si="4"/>
        <v>FALTAN DATOS</v>
      </c>
      <c r="AP24" s="6" t="str">
        <f t="shared" si="5"/>
        <v>FALTAN DATOS</v>
      </c>
      <c r="AQ24" s="6" t="s">
        <v>159</v>
      </c>
      <c r="AR24" s="14"/>
      <c r="AS24" s="14"/>
      <c r="AT24" s="6"/>
    </row>
    <row r="25" spans="1:46" x14ac:dyDescent="0.25">
      <c r="A25" s="6">
        <v>18</v>
      </c>
      <c r="B25" s="6" t="s">
        <v>70</v>
      </c>
      <c r="C25" s="6" t="s">
        <v>71</v>
      </c>
      <c r="D25" s="6" t="s">
        <v>46</v>
      </c>
      <c r="E25" s="6" t="s">
        <v>107</v>
      </c>
      <c r="F25" s="6">
        <v>9236011673</v>
      </c>
      <c r="G25" s="6"/>
      <c r="H25" s="6" t="s">
        <v>48</v>
      </c>
      <c r="I25" s="6" t="s">
        <v>109</v>
      </c>
      <c r="J25" s="6" t="s">
        <v>59</v>
      </c>
      <c r="K25" s="6" t="s">
        <v>153</v>
      </c>
      <c r="L25" s="6" t="s">
        <v>151</v>
      </c>
      <c r="M25" s="8">
        <v>46069</v>
      </c>
      <c r="N25" s="8">
        <v>46070</v>
      </c>
      <c r="O25" s="6"/>
      <c r="P25" s="6" t="s">
        <v>154</v>
      </c>
      <c r="Q25" s="9">
        <v>0.3125</v>
      </c>
      <c r="R25" s="6"/>
      <c r="S25" s="6"/>
      <c r="T25" s="8"/>
      <c r="U25" s="6"/>
      <c r="V25" s="6"/>
      <c r="W25" s="6"/>
      <c r="X25" s="8"/>
      <c r="Y25" s="13"/>
      <c r="Z25" s="6"/>
      <c r="AA25" s="14"/>
      <c r="AB25" s="6"/>
      <c r="AC25" s="8"/>
      <c r="AD25" s="6"/>
      <c r="AE25" s="8"/>
      <c r="AF25" s="6"/>
      <c r="AG25" s="15" t="str">
        <f t="shared" si="0"/>
        <v>FALTAN DATOS</v>
      </c>
      <c r="AH25" s="14" t="str">
        <f t="shared" si="1"/>
        <v>FALTAN DATOS</v>
      </c>
      <c r="AI25" s="14" t="str">
        <f t="shared" si="2"/>
        <v>FALTAN DATOS</v>
      </c>
      <c r="AJ25" s="8"/>
      <c r="AK25" s="9"/>
      <c r="AL25" s="8"/>
      <c r="AM25" s="14"/>
      <c r="AN25" s="15" t="str">
        <f t="shared" si="3"/>
        <v>FALTAN DATOS</v>
      </c>
      <c r="AO25" s="6" t="str">
        <f t="shared" si="4"/>
        <v>FALTAN DATOS</v>
      </c>
      <c r="AP25" s="6" t="str">
        <f t="shared" si="5"/>
        <v>FALTAN DATOS</v>
      </c>
      <c r="AQ25" s="6" t="s">
        <v>159</v>
      </c>
      <c r="AR25" s="14"/>
      <c r="AS25" s="14"/>
      <c r="AT25" s="6"/>
    </row>
    <row r="26" spans="1:46" x14ac:dyDescent="0.25">
      <c r="A26" s="6">
        <v>19</v>
      </c>
      <c r="B26" s="6" t="s">
        <v>70</v>
      </c>
      <c r="C26" s="6" t="s">
        <v>71</v>
      </c>
      <c r="D26" s="6" t="s">
        <v>46</v>
      </c>
      <c r="E26" s="6" t="s">
        <v>107</v>
      </c>
      <c r="F26" s="6">
        <v>9236011675</v>
      </c>
      <c r="G26" s="6"/>
      <c r="H26" s="6" t="s">
        <v>48</v>
      </c>
      <c r="I26" s="6" t="s">
        <v>109</v>
      </c>
      <c r="J26" s="6" t="s">
        <v>59</v>
      </c>
      <c r="K26" s="6" t="s">
        <v>155</v>
      </c>
      <c r="L26" s="6" t="s">
        <v>151</v>
      </c>
      <c r="M26" s="8">
        <v>46069</v>
      </c>
      <c r="N26" s="8">
        <v>46070</v>
      </c>
      <c r="O26" s="6"/>
      <c r="P26" s="8">
        <v>46071</v>
      </c>
      <c r="Q26" s="9">
        <v>0.41666666666666669</v>
      </c>
      <c r="R26" s="6"/>
      <c r="S26" s="6"/>
      <c r="T26" s="8"/>
      <c r="U26" s="6"/>
      <c r="V26" s="6"/>
      <c r="W26" s="6"/>
      <c r="X26" s="8"/>
      <c r="Y26" s="13"/>
      <c r="Z26" s="6"/>
      <c r="AA26" s="14"/>
      <c r="AB26" s="6"/>
      <c r="AC26" s="8"/>
      <c r="AD26" s="6"/>
      <c r="AE26" s="8"/>
      <c r="AF26" s="6"/>
      <c r="AG26" s="15" t="str">
        <f t="shared" si="0"/>
        <v>FALTAN DATOS</v>
      </c>
      <c r="AH26" s="14" t="str">
        <f t="shared" si="1"/>
        <v>FALTAN DATOS</v>
      </c>
      <c r="AI26" s="14" t="str">
        <f t="shared" si="2"/>
        <v>FALTAN DATOS</v>
      </c>
      <c r="AJ26" s="8"/>
      <c r="AK26" s="9"/>
      <c r="AL26" s="8"/>
      <c r="AM26" s="14"/>
      <c r="AN26" s="15" t="str">
        <f t="shared" si="3"/>
        <v>FALTAN DATOS</v>
      </c>
      <c r="AO26" s="6" t="str">
        <f t="shared" si="4"/>
        <v>FALTAN DATOS</v>
      </c>
      <c r="AP26" s="6" t="str">
        <f t="shared" si="5"/>
        <v>FALTAN DATOS</v>
      </c>
      <c r="AQ26" s="6" t="s">
        <v>159</v>
      </c>
      <c r="AR26" s="14"/>
      <c r="AS26" s="14"/>
      <c r="AT26" s="6"/>
    </row>
    <row r="27" spans="1:46" x14ac:dyDescent="0.25">
      <c r="A27" s="6">
        <v>20</v>
      </c>
      <c r="B27" s="6" t="s">
        <v>70</v>
      </c>
      <c r="C27" s="6" t="s">
        <v>71</v>
      </c>
      <c r="D27" s="6" t="s">
        <v>46</v>
      </c>
      <c r="E27" s="6" t="s">
        <v>107</v>
      </c>
      <c r="F27" s="6">
        <v>9236011674</v>
      </c>
      <c r="G27" s="6"/>
      <c r="H27" s="6" t="s">
        <v>48</v>
      </c>
      <c r="I27" s="6" t="s">
        <v>109</v>
      </c>
      <c r="J27" s="6" t="s">
        <v>59</v>
      </c>
      <c r="K27" s="6" t="s">
        <v>156</v>
      </c>
      <c r="L27" s="6" t="s">
        <v>151</v>
      </c>
      <c r="M27" s="8">
        <v>46069</v>
      </c>
      <c r="N27" s="8">
        <v>46070</v>
      </c>
      <c r="O27" s="6"/>
      <c r="P27" s="8">
        <v>46071</v>
      </c>
      <c r="Q27" s="9">
        <v>0.5</v>
      </c>
      <c r="R27" s="6"/>
      <c r="S27" s="6"/>
      <c r="T27" s="8"/>
      <c r="U27" s="6"/>
      <c r="V27" s="6"/>
      <c r="W27" s="6"/>
      <c r="X27" s="8"/>
      <c r="Y27" s="13"/>
      <c r="Z27" s="6"/>
      <c r="AA27" s="14"/>
      <c r="AB27" s="6"/>
      <c r="AC27" s="8"/>
      <c r="AD27" s="6"/>
      <c r="AE27" s="8"/>
      <c r="AF27" s="6"/>
      <c r="AG27" s="15" t="str">
        <f t="shared" si="0"/>
        <v>FALTAN DATOS</v>
      </c>
      <c r="AH27" s="14" t="str">
        <f t="shared" si="1"/>
        <v>FALTAN DATOS</v>
      </c>
      <c r="AI27" s="14" t="str">
        <f t="shared" si="2"/>
        <v>FALTAN DATOS</v>
      </c>
      <c r="AJ27" s="8"/>
      <c r="AK27" s="9"/>
      <c r="AL27" s="8"/>
      <c r="AM27" s="14"/>
      <c r="AN27" s="15" t="str">
        <f t="shared" si="3"/>
        <v>FALTAN DATOS</v>
      </c>
      <c r="AO27" s="6" t="str">
        <f t="shared" si="4"/>
        <v>FALTAN DATOS</v>
      </c>
      <c r="AP27" s="6" t="str">
        <f t="shared" si="5"/>
        <v>FALTAN DATOS</v>
      </c>
      <c r="AQ27" s="6" t="s">
        <v>159</v>
      </c>
      <c r="AR27" s="14"/>
      <c r="AS27" s="14"/>
      <c r="AT27" s="6"/>
    </row>
  </sheetData>
  <protectedRanges>
    <protectedRange algorithmName="SHA-512" hashValue="bbY98fJVgf0f98FyowKD4bcCWndGU2NdWCbk/gi1HW1fS+U2KlfaOWQWU+/pO5OEr+SCCEyKdxbQRkCBJ/j31g==" saltValue="gir9mkwdmin8s2MgWhkWSw==" spinCount="100000" sqref="M2:N2 P2 R1:AT27 G1:G27 E2" name="OPERACIONES"/>
    <protectedRange algorithmName="SHA-512" hashValue="1xaiP/R8Yqo93dFdzBz/5o7Od6Cv9tmczRA/2cUHCrkkapWO1CA4w0G+2OAo30ehkm0oXIrPJtRwemeMu22fsA==" saltValue="AeDbSLRTUZKm98DHOshD4g==" spinCount="100000" sqref="F2 A2:D2 H1:Q1 A3:F27 O2 Q2 A1:F1 H3:Q27 H2:L2" name="SAC"/>
  </protectedRanges>
  <conditionalFormatting sqref="AG1:AG27 AN2:AN27">
    <cfRule type="containsText" dxfId="4" priority="1" operator="containsText" text="MAL CAPTURADO">
      <formula>NOT(ISERROR(SEARCH("MAL CAPTURADO",AG1)))</formula>
    </cfRule>
    <cfRule type="containsText" dxfId="3" priority="4" operator="containsText" text="ADELANTADO">
      <formula>NOT(ISERROR(SEARCH("ADELANTADO",AG1)))</formula>
    </cfRule>
  </conditionalFormatting>
  <conditionalFormatting sqref="AG1:AH27 AN2:AO27">
    <cfRule type="containsText" dxfId="2" priority="3" operator="containsText" text="FALTAN DATOS">
      <formula>NOT(ISERROR(SEARCH("FALTAN DATOS",AG1)))</formula>
    </cfRule>
  </conditionalFormatting>
  <conditionalFormatting sqref="AH1:AH27 AO2:AO27">
    <cfRule type="containsText" dxfId="1" priority="5" operator="containsText" text="DELAYED">
      <formula>NOT(ISERROR(SEARCH("DELAYED",AH1)))</formula>
    </cfRule>
  </conditionalFormatting>
  <conditionalFormatting sqref="AI2:AI27 AP2:AP27">
    <cfRule type="cellIs" dxfId="0" priority="2" operator="greaterThan">
      <formula>0</formula>
    </cfRule>
  </conditionalFormatting>
  <dataValidations count="1">
    <dataValidation type="list" allowBlank="1" showInputMessage="1" showErrorMessage="1" sqref="Z3:Z27" xr:uid="{B72D4964-861A-48EA-96A3-7A3BF512C82C}">
      <formula1>#REF!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Víctor Daniel Mejía Mondragón</dc:creator>
  <cp:lastModifiedBy>Víctor Daniel Mejía Mondragón</cp:lastModifiedBy>
  <dcterms:created xsi:type="dcterms:W3CDTF">2026-02-19T18:14:46Z</dcterms:created>
  <dcterms:modified xsi:type="dcterms:W3CDTF">2026-02-25T04:21:40Z</dcterms:modified>
</cp:coreProperties>
</file>